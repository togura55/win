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255" windowWidth="16140" windowHeight="7500" activeTab="3"/>
  </bookViews>
  <sheets>
    <sheet name="Result" sheetId="24" r:id="rId1"/>
    <sheet name="Config" sheetId="2" r:id="rId2"/>
    <sheet name="debug" sheetId="25" r:id="rId3"/>
    <sheet name="Staff_List" sheetId="3" r:id="rId4"/>
    <sheet name="form1" sheetId="18" r:id="rId5"/>
    <sheet name="form2" sheetId="23" r:id="rId6"/>
    <sheet name="Instructions" sheetId="12" r:id="rId7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A11" i="3" l="1"/>
  <c r="A10" i="3"/>
  <c r="A19" i="3"/>
  <c r="A18" i="3"/>
  <c r="A17" i="3"/>
  <c r="A16" i="3"/>
  <c r="A15" i="3"/>
  <c r="A14" i="3"/>
  <c r="A13" i="3"/>
  <c r="A12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<sst xmlns="http://schemas.openxmlformats.org/spreadsheetml/2006/main" count="589" uniqueCount="185">
  <si>
    <t>Actual Hrs</t>
  </si>
  <si>
    <t>Test Lead</t>
  </si>
  <si>
    <t>Kickoff and Preparation</t>
  </si>
  <si>
    <t>Setup</t>
  </si>
  <si>
    <t>Test Execution - BAT</t>
  </si>
  <si>
    <t>Test Execution - GUI</t>
  </si>
  <si>
    <t>Test Execution - Regress</t>
  </si>
  <si>
    <t>Test Execution - Troubleshooting</t>
  </si>
  <si>
    <t>Report</t>
  </si>
  <si>
    <t>Followup</t>
  </si>
  <si>
    <t>All Phases - Sales / Marketing support meeting</t>
  </si>
  <si>
    <t>Tester</t>
  </si>
  <si>
    <t>Web Specialist</t>
  </si>
  <si>
    <t>Linguist</t>
  </si>
  <si>
    <t>Test Execution - Translation Bug Fix</t>
  </si>
  <si>
    <t>Followup (Terminology proposal / management with Sales / Marketing)</t>
  </si>
  <si>
    <t>Project Manager</t>
  </si>
  <si>
    <t>Followup (questions/requests from Project stakeholders (BU, Sales / Marketing, TAC and AS)</t>
  </si>
  <si>
    <t>Loc Engineer</t>
  </si>
  <si>
    <t>SourceDir</t>
    <phoneticPr fontId="5"/>
  </si>
  <si>
    <t>SourceFile</t>
    <phoneticPr fontId="5"/>
  </si>
  <si>
    <t>StartDate</t>
    <phoneticPr fontId="5"/>
  </si>
  <si>
    <t>EndDate</t>
    <phoneticPr fontId="5"/>
  </si>
  <si>
    <t>\\TOKYOPROJ6\SDLGen\18_Engineering\Projects\Cisco\TimeManagement\Summary</t>
    <phoneticPr fontId="5"/>
  </si>
  <si>
    <t>Data.csv</t>
    <phoneticPr fontId="5"/>
  </si>
  <si>
    <t>ProjectName</t>
    <phoneticPr fontId="5"/>
  </si>
  <si>
    <t>Tasks</t>
    <phoneticPr fontId="5"/>
  </si>
  <si>
    <t>Prep</t>
    <phoneticPr fontId="5"/>
  </si>
  <si>
    <t>Setup</t>
    <phoneticPr fontId="5"/>
  </si>
  <si>
    <t>BAT</t>
    <phoneticPr fontId="5"/>
  </si>
  <si>
    <t>GUI</t>
    <phoneticPr fontId="5"/>
  </si>
  <si>
    <t>Regress</t>
    <phoneticPr fontId="5"/>
  </si>
  <si>
    <t>TS</t>
    <phoneticPr fontId="5"/>
  </si>
  <si>
    <t>Report</t>
    <phoneticPr fontId="5"/>
  </si>
  <si>
    <t>Follow1</t>
    <phoneticPr fontId="5"/>
  </si>
  <si>
    <t>Follow2</t>
    <phoneticPr fontId="5"/>
  </si>
  <si>
    <t>Follow3</t>
    <phoneticPr fontId="5"/>
  </si>
  <si>
    <t>TBF</t>
    <phoneticPr fontId="5"/>
  </si>
  <si>
    <t>C_Meeting</t>
    <phoneticPr fontId="5"/>
  </si>
  <si>
    <t>Staff_List</t>
    <phoneticPr fontId="5"/>
  </si>
  <si>
    <t>StafflistSheet</t>
    <phoneticPr fontId="5"/>
  </si>
  <si>
    <t>ResultSheet</t>
    <phoneticPr fontId="5"/>
  </si>
  <si>
    <t>Result</t>
    <phoneticPr fontId="5"/>
  </si>
  <si>
    <t>EnableDebug</t>
    <phoneticPr fontId="5"/>
  </si>
  <si>
    <t>＜概要＞</t>
    <rPh sb="1" eb="3">
      <t>ガイヨウ</t>
    </rPh>
    <phoneticPr fontId="5"/>
  </si>
  <si>
    <t>＜使い方＞</t>
    <rPh sb="1" eb="2">
      <t>ツカ</t>
    </rPh>
    <rPh sb="3" eb="4">
      <t>カタ</t>
    </rPh>
    <phoneticPr fontId="5"/>
  </si>
  <si>
    <t>SourceDir: 読み込むData.csvファイルのあるディレクトリ名</t>
    <rPh sb="11" eb="12">
      <t>ヨ</t>
    </rPh>
    <rPh sb="13" eb="14">
      <t>コ</t>
    </rPh>
    <rPh sb="36" eb="37">
      <t>メイ</t>
    </rPh>
    <phoneticPr fontId="5"/>
  </si>
  <si>
    <t>SourceFile: 読み込むData.csvファイルのファイル名</t>
    <rPh sb="33" eb="34">
      <t>メイ</t>
    </rPh>
    <phoneticPr fontId="5"/>
  </si>
  <si>
    <t>StafflistSheet: Staff_List記載のシート名</t>
    <rPh sb="26" eb="28">
      <t>キサイ</t>
    </rPh>
    <rPh sb="32" eb="33">
      <t>メイ</t>
    </rPh>
    <phoneticPr fontId="5"/>
  </si>
  <si>
    <t>[基本設定]</t>
    <rPh sb="1" eb="3">
      <t>キホン</t>
    </rPh>
    <rPh sb="3" eb="5">
      <t>セッテイ</t>
    </rPh>
    <phoneticPr fontId="5"/>
  </si>
  <si>
    <t>[毎回の設定]</t>
    <rPh sb="1" eb="3">
      <t>マイカイ</t>
    </rPh>
    <rPh sb="4" eb="6">
      <t>セッテイ</t>
    </rPh>
    <phoneticPr fontId="5"/>
  </si>
  <si>
    <t>[実行]</t>
    <rPh sb="1" eb="3">
      <t>ジッコウ</t>
    </rPh>
    <phoneticPr fontId="5"/>
  </si>
  <si>
    <t>Excelのマクロを有効にし、[表示]-[マクロ]-[マクロの表示]をクリック。"TMSummary_LME"を選択して、「実行」ボタンを押す</t>
    <rPh sb="10" eb="12">
      <t>ユウコウ</t>
    </rPh>
    <rPh sb="16" eb="18">
      <t>ヒョウジ</t>
    </rPh>
    <rPh sb="31" eb="33">
      <t>ヒョウジ</t>
    </rPh>
    <rPh sb="56" eb="58">
      <t>センタク</t>
    </rPh>
    <rPh sb="62" eb="64">
      <t>ジッコウ</t>
    </rPh>
    <rPh sb="69" eb="70">
      <t>オ</t>
    </rPh>
    <phoneticPr fontId="5"/>
  </si>
  <si>
    <t>DX65010.1</t>
    <phoneticPr fontId="5"/>
  </si>
  <si>
    <t>FormSheet</t>
    <phoneticPr fontId="5"/>
  </si>
  <si>
    <t>複数プロジェクトを右セルに連続して記載すると、複数のプロジェクトに対する結果をそれぞれ出力する。</t>
    <rPh sb="13" eb="15">
      <t>レンゾク</t>
    </rPh>
    <rPh sb="23" eb="25">
      <t>フクスウ</t>
    </rPh>
    <rPh sb="33" eb="34">
      <t>タイ</t>
    </rPh>
    <rPh sb="36" eb="38">
      <t>ケッカ</t>
    </rPh>
    <rPh sb="43" eb="45">
      <t>シュツリョク</t>
    </rPh>
    <phoneticPr fontId="5"/>
  </si>
  <si>
    <t>ResultSheetで指定したシートに、指定フォームに入力された集計結果が出力される</t>
    <rPh sb="12" eb="14">
      <t>シテイ</t>
    </rPh>
    <rPh sb="21" eb="23">
      <t>シテイ</t>
    </rPh>
    <rPh sb="28" eb="30">
      <t>ニュウリョク</t>
    </rPh>
    <rPh sb="33" eb="35">
      <t>シュウケイ</t>
    </rPh>
    <rPh sb="35" eb="37">
      <t>ケッカ</t>
    </rPh>
    <rPh sb="38" eb="40">
      <t>シュツリョク</t>
    </rPh>
    <phoneticPr fontId="5"/>
  </si>
  <si>
    <t>2. Staff_Listシートにユーザーリストを作成。B,C,D列に記載する。A列は自動で計算される（リストを追加する場合は数式の下方向コピーが必要）</t>
    <rPh sb="25" eb="27">
      <t>サクセイ</t>
    </rPh>
    <rPh sb="33" eb="34">
      <t>レツ</t>
    </rPh>
    <rPh sb="35" eb="37">
      <t>キサイ</t>
    </rPh>
    <rPh sb="41" eb="42">
      <t>レツ</t>
    </rPh>
    <rPh sb="43" eb="45">
      <t>ジドウ</t>
    </rPh>
    <rPh sb="46" eb="48">
      <t>ケイサン</t>
    </rPh>
    <rPh sb="56" eb="58">
      <t>ツイカ</t>
    </rPh>
    <rPh sb="60" eb="62">
      <t>バアイ</t>
    </rPh>
    <rPh sb="63" eb="65">
      <t>スウシキ</t>
    </rPh>
    <rPh sb="66" eb="69">
      <t>シタホウコウ</t>
    </rPh>
    <rPh sb="73" eb="75">
      <t>ヒツヨウ</t>
    </rPh>
    <phoneticPr fontId="5"/>
  </si>
  <si>
    <t>1. 出力書式であるフォームを作成し、シートに保存する（例：シート名をform1とする）</t>
    <rPh sb="3" eb="5">
      <t>シュツリョク</t>
    </rPh>
    <rPh sb="5" eb="7">
      <t>ショシキ</t>
    </rPh>
    <rPh sb="15" eb="17">
      <t>サクセイ</t>
    </rPh>
    <rPh sb="23" eb="25">
      <t>ホゾン</t>
    </rPh>
    <rPh sb="28" eb="29">
      <t>レイ</t>
    </rPh>
    <rPh sb="33" eb="34">
      <t>メイ</t>
    </rPh>
    <phoneticPr fontId="5"/>
  </si>
  <si>
    <t>TaskCategories: タスク名に対応するフォームシートに書かれたタスクカテゴリ文字列（例：ResulSheetシートのB列）</t>
    <rPh sb="19" eb="20">
      <t>メイ</t>
    </rPh>
    <rPh sb="21" eb="23">
      <t>タイオウ</t>
    </rPh>
    <rPh sb="33" eb="34">
      <t>カ</t>
    </rPh>
    <rPh sb="44" eb="47">
      <t>モジレツ</t>
    </rPh>
    <rPh sb="48" eb="49">
      <t>レイ</t>
    </rPh>
    <rPh sb="65" eb="66">
      <t>レツ</t>
    </rPh>
    <phoneticPr fontId="5"/>
  </si>
  <si>
    <t>3. Configシートの以下の項目を設定</t>
    <rPh sb="13" eb="15">
      <t>イカ</t>
    </rPh>
    <rPh sb="16" eb="18">
      <t>コウモク</t>
    </rPh>
    <rPh sb="19" eb="21">
      <t>セッテイ</t>
    </rPh>
    <phoneticPr fontId="5"/>
  </si>
  <si>
    <t>以下のConfigシート内の設定項目を設定する</t>
    <rPh sb="0" eb="2">
      <t>イカ</t>
    </rPh>
    <rPh sb="12" eb="13">
      <t>ナイ</t>
    </rPh>
    <rPh sb="14" eb="16">
      <t>セッテイ</t>
    </rPh>
    <rPh sb="16" eb="18">
      <t>コウモク</t>
    </rPh>
    <rPh sb="19" eb="21">
      <t>セッテイ</t>
    </rPh>
    <phoneticPr fontId="5"/>
  </si>
  <si>
    <t>TaskCategories</t>
    <phoneticPr fontId="5"/>
  </si>
  <si>
    <t>PLM10.0</t>
    <phoneticPr fontId="5"/>
  </si>
  <si>
    <t>StartDate: 集計する開始日。空欄の場合はデータの最も古い日付からとなる</t>
    <rPh sb="11" eb="13">
      <t>シュウケイ</t>
    </rPh>
    <rPh sb="15" eb="18">
      <t>カイシビ</t>
    </rPh>
    <rPh sb="19" eb="21">
      <t>クウラン</t>
    </rPh>
    <rPh sb="22" eb="24">
      <t>バアイ</t>
    </rPh>
    <rPh sb="29" eb="30">
      <t>モット</t>
    </rPh>
    <rPh sb="31" eb="32">
      <t>フル</t>
    </rPh>
    <rPh sb="33" eb="35">
      <t>ヒヅケ</t>
    </rPh>
    <phoneticPr fontId="5"/>
  </si>
  <si>
    <t>EndDate: 集計する終了日。空欄の場合はデータの最も新しい日付までとなる</t>
    <rPh sb="9" eb="11">
      <t>シュウケイ</t>
    </rPh>
    <rPh sb="13" eb="16">
      <t>シュウリョウビ</t>
    </rPh>
    <rPh sb="17" eb="19">
      <t>クウラン</t>
    </rPh>
    <rPh sb="20" eb="22">
      <t>バアイ</t>
    </rPh>
    <rPh sb="27" eb="28">
      <t>モット</t>
    </rPh>
    <rPh sb="29" eb="30">
      <t>アタラ</t>
    </rPh>
    <rPh sb="32" eb="34">
      <t>ヒヅケ</t>
    </rPh>
    <phoneticPr fontId="5"/>
  </si>
  <si>
    <t>C:\Users\ogura\Desktop\TMSummary</t>
    <phoneticPr fontId="5"/>
  </si>
  <si>
    <t>Tsuyoshi Ogura</t>
  </si>
  <si>
    <t>Koichi Nakajima</t>
  </si>
  <si>
    <t>knakajima</t>
    <phoneticPr fontId="5"/>
  </si>
  <si>
    <t>Eiji Tominaga</t>
  </si>
  <si>
    <t>Toshiari Bojo</t>
  </si>
  <si>
    <t>Kazuhiro Ohata</t>
  </si>
  <si>
    <t>kohata</t>
    <phoneticPr fontId="5"/>
  </si>
  <si>
    <t>Keiichi Yoshimura</t>
  </si>
  <si>
    <t>Junko Tomioka</t>
  </si>
  <si>
    <t>Junko Kobayashi</t>
  </si>
  <si>
    <t>Kumiko Horikawa</t>
  </si>
  <si>
    <t>Masae Otake</t>
  </si>
  <si>
    <t>motake</t>
    <phoneticPr fontId="5"/>
  </si>
  <si>
    <t>Kumi Kaneda</t>
  </si>
  <si>
    <t>Chiharu Iwaya</t>
  </si>
  <si>
    <t>Kaoru Niwa</t>
  </si>
  <si>
    <t>Yukiko Arai</t>
  </si>
  <si>
    <t>Yuzuru Usui</t>
  </si>
  <si>
    <t>yusui</t>
    <phoneticPr fontId="5"/>
  </si>
  <si>
    <t>code</t>
    <phoneticPr fontId="5"/>
  </si>
  <si>
    <t>Name</t>
    <phoneticPr fontId="5"/>
  </si>
  <si>
    <t>Account</t>
    <phoneticPr fontId="5"/>
  </si>
  <si>
    <t>Title</t>
    <phoneticPr fontId="5"/>
  </si>
  <si>
    <t>togura</t>
    <phoneticPr fontId="5"/>
  </si>
  <si>
    <t>etominaga</t>
    <phoneticPr fontId="5"/>
  </si>
  <si>
    <t>tbojo</t>
    <phoneticPr fontId="5"/>
  </si>
  <si>
    <t>Hiromi Kobayashi</t>
    <phoneticPr fontId="5"/>
  </si>
  <si>
    <t>hkobayashi</t>
    <phoneticPr fontId="5"/>
  </si>
  <si>
    <t>kyoshimura</t>
    <phoneticPr fontId="5"/>
  </si>
  <si>
    <t>jtomioka</t>
    <phoneticPr fontId="5"/>
  </si>
  <si>
    <t>jkobayashi</t>
    <phoneticPr fontId="5"/>
  </si>
  <si>
    <t>khorikawa</t>
    <phoneticPr fontId="5"/>
  </si>
  <si>
    <t>kkaneda</t>
    <phoneticPr fontId="5"/>
  </si>
  <si>
    <t>ciwaya</t>
    <phoneticPr fontId="5"/>
  </si>
  <si>
    <t>kniwa</t>
    <phoneticPr fontId="5"/>
  </si>
  <si>
    <t>yuarai</t>
    <phoneticPr fontId="5"/>
  </si>
  <si>
    <t>Title</t>
    <phoneticPr fontId="5"/>
  </si>
  <si>
    <t>Task Categories</t>
    <phoneticPr fontId="5"/>
  </si>
  <si>
    <t>Title</t>
  </si>
  <si>
    <t>Category</t>
  </si>
  <si>
    <t>Operational Tasks</t>
  </si>
  <si>
    <t xml:space="preserve">GSSO activity promotion </t>
  </si>
  <si>
    <t>News letter contribution</t>
  </si>
  <si>
    <t>GSSO Japan support and process set up support (eg SEVT, Ops Review, LME, Partner Central, IWE migration etc)</t>
  </si>
  <si>
    <t>KPI reporting  (Monthly KPI  Reporting)</t>
  </si>
  <si>
    <t xml:space="preserve">Portfolio support </t>
  </si>
  <si>
    <t>Product List Creation/Update support by consulting Sales / Marketing</t>
  </si>
  <si>
    <t>Input of TechDoc prioritization and categorization</t>
  </si>
  <si>
    <t>New Product/Features/Projects L10N feasibility study including i18N activities</t>
  </si>
  <si>
    <t>Internal equipment order list creation (research, proposal for coming FY)</t>
  </si>
  <si>
    <t>Tool/System support</t>
  </si>
  <si>
    <t>Passolo administration</t>
  </si>
  <si>
    <t xml:space="preserve">Other </t>
  </si>
  <si>
    <r>
      <t>チャージ対象になる待機時間</t>
    </r>
    <r>
      <rPr>
        <sz val="10"/>
        <color rgb="FF000000"/>
        <rFont val="Calibri"/>
        <family val="2"/>
      </rPr>
      <t xml:space="preserve"> </t>
    </r>
  </si>
  <si>
    <t>チャージ対象になるその他の作業</t>
  </si>
  <si>
    <r>
      <t>Unknown UI verification→Doc</t>
    </r>
    <r>
      <rPr>
        <sz val="10"/>
        <color rgb="FF000000"/>
        <rFont val="MS PGothic"/>
        <family val="3"/>
      </rPr>
      <t>翻訳で、翻訳者から不明</t>
    </r>
    <r>
      <rPr>
        <sz val="10"/>
        <color rgb="FF000000"/>
        <rFont val="Calibri"/>
        <family val="2"/>
      </rPr>
      <t>UI</t>
    </r>
    <r>
      <rPr>
        <sz val="10"/>
        <color rgb="FF000000"/>
        <rFont val="MS PGothic"/>
        <family val="3"/>
      </rPr>
      <t>があがった場合、実機でその不明</t>
    </r>
    <r>
      <rPr>
        <sz val="10"/>
        <color rgb="FF000000"/>
        <rFont val="Calibri"/>
        <family val="2"/>
      </rPr>
      <t>UI</t>
    </r>
    <r>
      <rPr>
        <sz val="10"/>
        <color rgb="FF000000"/>
        <rFont val="MS PGothic"/>
        <family val="3"/>
      </rPr>
      <t>を確認する作業</t>
    </r>
  </si>
  <si>
    <r>
      <t>Set up and Screen Capture→Doc</t>
    </r>
    <r>
      <rPr>
        <sz val="10"/>
        <color rgb="FF000000"/>
        <rFont val="MS PGothic"/>
        <family val="3"/>
      </rPr>
      <t>翻訳で、日本語画像への差し替えが必要な場合に、実機で日本語の画面キャプチャする作業</t>
    </r>
  </si>
  <si>
    <t>TimeManagementの出力ファイルであるData.csvデータファイルから、指定された条件でデータを集計し、FormシートのフォーマットでResultシートに結果を出力するExcel Macro</t>
    <rPh sb="15" eb="17">
      <t>シュツリョク</t>
    </rPh>
    <rPh sb="42" eb="44">
      <t>シテイ</t>
    </rPh>
    <rPh sb="47" eb="49">
      <t>ジョウケン</t>
    </rPh>
    <rPh sb="54" eb="56">
      <t>シュウケイ</t>
    </rPh>
    <rPh sb="83" eb="85">
      <t>ケッカ</t>
    </rPh>
    <rPh sb="86" eb="88">
      <t>シュツリョク</t>
    </rPh>
    <phoneticPr fontId="5"/>
  </si>
  <si>
    <t>EnableDebug: デバッグ用、0: 既定、1: デバッグ出力有り</t>
    <rPh sb="17" eb="18">
      <t>ヨウ</t>
    </rPh>
    <rPh sb="22" eb="24">
      <t>キテイ</t>
    </rPh>
    <rPh sb="32" eb="34">
      <t>シュツリョク</t>
    </rPh>
    <rPh sb="34" eb="35">
      <t>ア</t>
    </rPh>
    <phoneticPr fontId="5"/>
  </si>
  <si>
    <t>ProjectName: 集計対象のプロジェクト名リスト。空欄の場合は期間内の全てのプロジェクトに対する集計となる。</t>
    <rPh sb="13" eb="15">
      <t>シュウケイ</t>
    </rPh>
    <rPh sb="15" eb="17">
      <t>タイショウ</t>
    </rPh>
    <rPh sb="24" eb="25">
      <t>メイ</t>
    </rPh>
    <rPh sb="29" eb="31">
      <t>クウラン</t>
    </rPh>
    <rPh sb="32" eb="34">
      <t>バアイ</t>
    </rPh>
    <rPh sb="35" eb="38">
      <t>キカンナイ</t>
    </rPh>
    <rPh sb="39" eb="40">
      <t>スベ</t>
    </rPh>
    <rPh sb="49" eb="50">
      <t>タイ</t>
    </rPh>
    <rPh sb="52" eb="54">
      <t>シュウケイ</t>
    </rPh>
    <phoneticPr fontId="5"/>
  </si>
  <si>
    <t>Tasks: TimeManagementで定義された、既定のタスク名リスト</t>
    <rPh sb="22" eb="24">
      <t>テイギ</t>
    </rPh>
    <rPh sb="28" eb="30">
      <t>キテイ</t>
    </rPh>
    <rPh sb="34" eb="35">
      <t>メイ</t>
    </rPh>
    <phoneticPr fontId="5"/>
  </si>
  <si>
    <t>ResultSheet: 結果出力のシート名</t>
    <rPh sb="13" eb="15">
      <t>ケッカ</t>
    </rPh>
    <rPh sb="15" eb="17">
      <t>シュツリョク</t>
    </rPh>
    <rPh sb="21" eb="22">
      <t>メイ</t>
    </rPh>
    <phoneticPr fontId="5"/>
  </si>
  <si>
    <t>FormSheet: 出力書式で書かれたフォームシート名（例：form1)</t>
    <rPh sb="11" eb="13">
      <t>シュツリョク</t>
    </rPh>
    <rPh sb="13" eb="15">
      <t>ショシキ</t>
    </rPh>
    <rPh sb="16" eb="17">
      <t>カ</t>
    </rPh>
    <rPh sb="27" eb="28">
      <t>メイ</t>
    </rPh>
    <rPh sb="29" eb="30">
      <t>レイ</t>
    </rPh>
    <phoneticPr fontId="5"/>
  </si>
  <si>
    <t>TitleDescription</t>
    <phoneticPr fontId="5"/>
  </si>
  <si>
    <t>HoursDescription</t>
    <phoneticPr fontId="5"/>
  </si>
  <si>
    <t>Title</t>
    <phoneticPr fontId="5"/>
  </si>
  <si>
    <t>Actual Hrs</t>
    <phoneticPr fontId="5"/>
  </si>
  <si>
    <t>TasksDescription</t>
    <phoneticPr fontId="5"/>
  </si>
  <si>
    <t>Task Categories</t>
    <phoneticPr fontId="5"/>
  </si>
  <si>
    <t>Operational Tasks</t>
    <phoneticPr fontId="5"/>
  </si>
  <si>
    <t xml:space="preserve">チャージ対象になる待機時間 </t>
  </si>
  <si>
    <t>Unknown UI verification→Doc翻訳で、翻訳者から不明UIがあがった場合、実機でその不明UIを確認する作業</t>
  </si>
  <si>
    <t>Set up and Screen Capture→Doc翻訳で、日本語画像への差し替えが必要な場合に、実機で日本語の画面キャプチャする作業</t>
  </si>
  <si>
    <t>C_Active1</t>
    <phoneticPr fontId="5"/>
  </si>
  <si>
    <t>C_Active2</t>
    <phoneticPr fontId="5"/>
  </si>
  <si>
    <t>C_Active3</t>
    <phoneticPr fontId="5"/>
  </si>
  <si>
    <t>C_Waiting</t>
    <phoneticPr fontId="5"/>
  </si>
  <si>
    <t>C_Others</t>
    <phoneticPr fontId="5"/>
  </si>
  <si>
    <t>C_Portfolio1</t>
    <phoneticPr fontId="5"/>
  </si>
  <si>
    <t>C_Portfolio2</t>
    <phoneticPr fontId="5"/>
  </si>
  <si>
    <t>C_Portfolio3</t>
    <phoneticPr fontId="5"/>
  </si>
  <si>
    <t>C_Portfolio4</t>
    <phoneticPr fontId="5"/>
  </si>
  <si>
    <t>C_TransTool</t>
    <phoneticPr fontId="5"/>
  </si>
  <si>
    <t>C_UnknownUI</t>
    <phoneticPr fontId="5"/>
  </si>
  <si>
    <t>C_ScreenCapture</t>
    <phoneticPr fontId="5"/>
  </si>
  <si>
    <t>TitleDescription, HoursDescription, TasksDescription: フォームのタイトル行文字列。複数記載可</t>
    <rPh sb="63" eb="64">
      <t>ギョウ</t>
    </rPh>
    <rPh sb="64" eb="67">
      <t>モジレツ</t>
    </rPh>
    <rPh sb="68" eb="70">
      <t>フクスウ</t>
    </rPh>
    <rPh sb="70" eb="72">
      <t>キサイ</t>
    </rPh>
    <rPh sb="72" eb="73">
      <t>カ</t>
    </rPh>
    <phoneticPr fontId="5"/>
  </si>
  <si>
    <t>All Phases - Sales / Marketing support meeting</t>
    <phoneticPr fontId="5"/>
  </si>
  <si>
    <t>All Phases - Sales / Marketing support meeting</t>
    <phoneticPr fontId="5"/>
  </si>
  <si>
    <t>Report</t>
    <phoneticPr fontId="5"/>
  </si>
  <si>
    <t>Report</t>
    <phoneticPr fontId="5"/>
  </si>
  <si>
    <t>Prep</t>
  </si>
  <si>
    <t>BAT</t>
  </si>
  <si>
    <t>GUI</t>
  </si>
  <si>
    <t>Regress</t>
  </si>
  <si>
    <t>TS</t>
  </si>
  <si>
    <t>Follow1</t>
  </si>
  <si>
    <t>Follow2</t>
  </si>
  <si>
    <t>Follow3</t>
  </si>
  <si>
    <t>TBF</t>
  </si>
  <si>
    <t>C_Meeting</t>
  </si>
  <si>
    <t>C_Active1</t>
  </si>
  <si>
    <t>C_Active2</t>
  </si>
  <si>
    <t>C_Active3</t>
  </si>
  <si>
    <t>C_Portfolio1</t>
  </si>
  <si>
    <t>C_Portfolio2</t>
  </si>
  <si>
    <t>C_Portfolio3</t>
  </si>
  <si>
    <t>C_Portfolio4</t>
  </si>
  <si>
    <t>C_TransTool</t>
  </si>
  <si>
    <t>C_Waiting</t>
  </si>
  <si>
    <t>C_Others</t>
  </si>
  <si>
    <t>C_UnknownUI</t>
  </si>
  <si>
    <t>C_ScreenCapture</t>
  </si>
  <si>
    <t>form1</t>
    <phoneticPr fontId="5"/>
  </si>
  <si>
    <t>Chikako Kitagawa</t>
  </si>
  <si>
    <t>Kaori Inahara</t>
    <phoneticPr fontId="5"/>
  </si>
  <si>
    <t>Tester</t>
    <phoneticPr fontId="5"/>
  </si>
  <si>
    <t>kitagaw</t>
    <phoneticPr fontId="5"/>
  </si>
  <si>
    <t>inahara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</si>
</sst>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ＭＳ Ｐゴシック"/>
      <family val="2"/>
      <charset val="128"/>
      <scheme val="minor"/>
    </font>
    <font>
      <sz val="10"/>
      <color theme="1"/>
      <name val="Times New Roman"/>
      <family val="1"/>
    </font>
    <font>
      <b/>
      <sz val="10"/>
      <color rgb="FFFFFFFF"/>
      <name val="ＭＳ Ｐゴシック"/>
      <family val="3"/>
      <charset val="128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Calibri"/>
      <family val="2"/>
    </font>
    <font>
      <sz val="10"/>
      <color theme="1"/>
      <name val="MS PGothic"/>
      <family val="3"/>
    </font>
    <font>
      <sz val="10"/>
      <color rgb="FF000000"/>
      <name val="MS PGothic"/>
      <family val="3"/>
    </font>
    <font>
      <sz val="10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4F622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/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 style="medium">
        <color theme="0"/>
      </right>
      <top style="medium">
        <color rgb="FF808080"/>
      </top>
      <bottom style="medium">
        <color rgb="FF808080"/>
      </bottom>
      <diagonal/>
    </border>
    <border>
      <left style="medium">
        <color theme="0"/>
      </left>
      <right style="medium">
        <color theme="0"/>
      </right>
      <top style="medium">
        <color rgb="FF808080"/>
      </top>
      <bottom style="medium">
        <color rgb="FF808080"/>
      </bottom>
      <diagonal/>
    </border>
    <border>
      <left style="medium">
        <color theme="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1" fillId="0" borderId="5" xfId="0" applyFont="1" applyBorder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/>
    </xf>
    <xf numFmtId="0" fontId="1" fillId="3" borderId="9" xfId="0" applyFont="1" applyFill="1" applyBorder="1">
      <alignment vertical="center"/>
    </xf>
    <xf numFmtId="0" fontId="0" fillId="0" borderId="10" xfId="0" applyBorder="1">
      <alignment vertical="center"/>
    </xf>
    <xf numFmtId="0" fontId="6" fillId="0" borderId="0" xfId="1">
      <alignment vertical="center"/>
    </xf>
    <xf numFmtId="14" fontId="0" fillId="0" borderId="0" xfId="0" applyNumberFormat="1">
      <alignment vertical="center"/>
    </xf>
    <xf numFmtId="0" fontId="0" fillId="4" borderId="10" xfId="0" applyFill="1" applyBorder="1">
      <alignment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0" fillId="0" borderId="0" xfId="0" applyNumberFormat="1">
      <alignment vertical="center"/>
    </xf>
    <xf numFmtId="0" fontId="4" fillId="0" borderId="3" xfId="0" applyFont="1" applyBorder="1" applyAlignment="1">
      <alignment horizontal="center" vertical="center"/>
    </xf>
    <xf numFmtId="0" fontId="3" fillId="5" borderId="12" xfId="0" applyFont="1" applyFill="1" applyBorder="1" applyAlignment="1">
      <alignment horizontal="left" vertical="center" wrapText="1"/>
    </xf>
    <xf numFmtId="0" fontId="8" fillId="6" borderId="15" xfId="0" applyFont="1" applyFill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 vertical="center" wrapText="1"/>
    </xf>
    <xf numFmtId="0" fontId="4" fillId="0" borderId="15" xfId="0" applyFont="1" applyBorder="1" applyAlignment="1">
      <alignment horizontal="left" vertical="center" wrapText="1"/>
    </xf>
    <xf numFmtId="0" fontId="10" fillId="6" borderId="15" xfId="0" applyFont="1" applyFill="1" applyBorder="1" applyAlignment="1">
      <alignment horizontal="left" vertical="center" wrapText="1"/>
    </xf>
    <xf numFmtId="0" fontId="4" fillId="6" borderId="15" xfId="0" applyFont="1" applyFill="1" applyBorder="1" applyAlignment="1">
      <alignment horizontal="left" vertical="center" wrapText="1"/>
    </xf>
    <xf numFmtId="0" fontId="3" fillId="5" borderId="11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6" borderId="15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7" fillId="0" borderId="10" xfId="0" applyFont="1" applyBorder="1">
      <alignment vertical="center"/>
    </xf>
    <xf numFmtId="14" fontId="0" fillId="0" borderId="10" xfId="0" applyNumberFormat="1" applyBorder="1">
      <alignment vertical="center"/>
    </xf>
    <xf numFmtId="0" fontId="9" fillId="6" borderId="15" xfId="0" applyFont="1" applyFill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0" fillId="8" borderId="0" xfId="0" applyFill="1">
      <alignment vertical="center"/>
    </xf>
    <xf numFmtId="0" fontId="11" fillId="8" borderId="0" xfId="0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1</xdr:row>
      <xdr:rowOff>38100</xdr:rowOff>
    </xdr:from>
    <xdr:to>
      <xdr:col>6</xdr:col>
      <xdr:colOff>295275</xdr:colOff>
      <xdr:row>2</xdr:row>
      <xdr:rowOff>161925</xdr:rowOff>
    </xdr:to>
    <xdr:sp macro="[0]!TMSummary_LME" textlink="">
      <xdr:nvSpPr>
        <xdr:cNvPr id="2" name="角丸四角形 1"/>
        <xdr:cNvSpPr/>
      </xdr:nvSpPr>
      <xdr:spPr>
        <a:xfrm>
          <a:off x="4257675" y="209550"/>
          <a:ext cx="9429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Summar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workbookViewId="0">
      <selection activeCell="C29" sqref="C3:C29"/>
    </sheetView>
  </sheetViews>
  <sheetFormatPr defaultRowHeight="19.5" customHeight="1"/>
  <cols>
    <col min="1" max="1" width="13.125" bestFit="1" customWidth="1"/>
    <col min="2" max="2" width="70.375" bestFit="1" customWidth="1"/>
  </cols>
  <sheetData>
    <row r="1" spans="1:3" ht="19.5" customHeight="1" thickBot="1">
      <c r="A1" s="26"/>
      <c r="B1" s="26"/>
      <c r="C1" s="26"/>
    </row>
    <row r="2" spans="1:3" ht="19.5" customHeight="1" thickBot="1">
      <c r="A2" s="1" t="s">
        <v>89</v>
      </c>
      <c r="B2" s="2" t="s">
        <v>104</v>
      </c>
      <c r="C2" s="3" t="s">
        <v>0</v>
      </c>
    </row>
    <row r="3" spans="1:3" ht="19.5" customHeight="1" thickBot="1">
      <c r="A3" s="54" t="s">
        <v>1</v>
      </c>
      <c r="B3" s="4" t="s">
        <v>2</v>
      </c>
      <c r="C3" s="57">
        <v>168</v>
      </c>
    </row>
    <row r="4" spans="1:3" ht="19.5" customHeight="1" thickBot="1">
      <c r="A4" s="55"/>
      <c r="B4" s="4" t="s">
        <v>3</v>
      </c>
      <c r="C4" s="57">
        <v>47.5</v>
      </c>
    </row>
    <row r="5" spans="1:3" ht="19.5" customHeight="1" thickBot="1">
      <c r="A5" s="55"/>
      <c r="B5" s="4" t="s">
        <v>4</v>
      </c>
      <c r="C5" s="57">
        <v>27</v>
      </c>
    </row>
    <row r="6" spans="1:3" ht="19.5" customHeight="1" thickBot="1">
      <c r="A6" s="55"/>
      <c r="B6" s="4" t="s">
        <v>5</v>
      </c>
      <c r="C6" s="57">
        <v>120.5</v>
      </c>
    </row>
    <row r="7" spans="1:3" ht="19.5" customHeight="1" thickBot="1">
      <c r="A7" s="55"/>
      <c r="B7" s="4" t="s">
        <v>6</v>
      </c>
      <c r="C7" s="57">
        <v>79.5</v>
      </c>
    </row>
    <row r="8" spans="1:3" ht="19.5" customHeight="1" thickBot="1">
      <c r="A8" s="55"/>
      <c r="B8" s="4" t="s">
        <v>7</v>
      </c>
      <c r="C8" s="57">
        <v>0.5</v>
      </c>
    </row>
    <row r="9" spans="1:3" ht="19.5" customHeight="1" thickBot="1">
      <c r="A9" s="55"/>
      <c r="B9" s="4" t="s">
        <v>8</v>
      </c>
      <c r="C9" s="57">
        <v>74.5</v>
      </c>
    </row>
    <row r="10" spans="1:3" ht="19.5" customHeight="1" thickBot="1">
      <c r="A10" s="55"/>
      <c r="B10" s="4" t="s">
        <v>9</v>
      </c>
      <c r="C10" s="57">
        <v>13.5</v>
      </c>
    </row>
    <row r="11" spans="1:3" ht="19.5" customHeight="1" thickBot="1">
      <c r="A11" s="56"/>
      <c r="B11" s="4" t="s">
        <v>10</v>
      </c>
      <c r="C11" s="57">
        <v>18</v>
      </c>
    </row>
    <row r="12" spans="1:3" ht="19.5" customHeight="1" thickBot="1">
      <c r="A12" s="54" t="s">
        <v>11</v>
      </c>
      <c r="B12" s="4" t="s">
        <v>2</v>
      </c>
      <c r="C12" s="57">
        <v>35.5</v>
      </c>
    </row>
    <row r="13" spans="1:3" ht="19.5" customHeight="1" thickBot="1">
      <c r="A13" s="55"/>
      <c r="B13" s="4" t="s">
        <v>3</v>
      </c>
      <c r="C13" s="57">
        <v>169.5</v>
      </c>
    </row>
    <row r="14" spans="1:3" ht="19.5" customHeight="1" thickBot="1">
      <c r="A14" s="55"/>
      <c r="B14" s="4" t="s">
        <v>4</v>
      </c>
      <c r="C14" s="57">
        <v>40</v>
      </c>
    </row>
    <row r="15" spans="1:3" ht="19.5" customHeight="1" thickBot="1">
      <c r="A15" s="55"/>
      <c r="B15" s="4" t="s">
        <v>5</v>
      </c>
      <c r="C15" s="57">
        <v>364.5</v>
      </c>
    </row>
    <row r="16" spans="1:3" ht="19.5" customHeight="1" thickBot="1">
      <c r="A16" s="55"/>
      <c r="B16" s="4" t="s">
        <v>6</v>
      </c>
      <c r="C16" s="57">
        <v>55</v>
      </c>
    </row>
    <row r="17" spans="1:3" ht="19.5" customHeight="1" thickBot="1">
      <c r="A17" s="55"/>
      <c r="B17" s="4" t="s">
        <v>7</v>
      </c>
      <c r="C17" s="57">
        <v>0</v>
      </c>
    </row>
    <row r="18" spans="1:3" ht="19.5" customHeight="1" thickBot="1">
      <c r="A18" s="55"/>
      <c r="B18" s="4" t="s">
        <v>8</v>
      </c>
      <c r="C18" s="57">
        <v>0</v>
      </c>
    </row>
    <row r="19" spans="1:3" ht="19.5" customHeight="1" thickBot="1">
      <c r="A19" s="55"/>
      <c r="B19" s="4" t="s">
        <v>9</v>
      </c>
      <c r="C19" s="57">
        <v>0</v>
      </c>
    </row>
    <row r="20" spans="1:3" ht="19.5" customHeight="1" thickBot="1">
      <c r="A20" s="56"/>
      <c r="B20" s="4" t="s">
        <v>10</v>
      </c>
      <c r="C20" s="57">
        <v>8.5</v>
      </c>
    </row>
    <row r="21" spans="1:3" ht="19.5" customHeight="1" thickBot="1">
      <c r="A21" s="36" t="s">
        <v>12</v>
      </c>
      <c r="B21" s="4" t="s">
        <v>156</v>
      </c>
      <c r="C21" s="57">
        <v>0</v>
      </c>
    </row>
    <row r="22" spans="1:3" ht="19.5" customHeight="1" thickBot="1">
      <c r="A22" s="54" t="s">
        <v>13</v>
      </c>
      <c r="B22" s="4" t="s">
        <v>14</v>
      </c>
      <c r="C22" s="57">
        <v>13.5</v>
      </c>
    </row>
    <row r="23" spans="1:3" ht="19.5" customHeight="1" thickBot="1">
      <c r="A23" s="56"/>
      <c r="B23" s="4" t="s">
        <v>15</v>
      </c>
      <c r="C23" s="57">
        <v>0</v>
      </c>
    </row>
    <row r="24" spans="1:3" ht="19.5" customHeight="1" thickBot="1">
      <c r="A24" s="54" t="s">
        <v>16</v>
      </c>
      <c r="B24" s="4" t="s">
        <v>2</v>
      </c>
      <c r="C24" s="57">
        <v>92.5</v>
      </c>
    </row>
    <row r="25" spans="1:3" ht="19.5" customHeight="1" thickBot="1">
      <c r="A25" s="55"/>
      <c r="B25" s="4" t="s">
        <v>155</v>
      </c>
      <c r="C25" s="57">
        <v>5</v>
      </c>
    </row>
    <row r="26" spans="1:3" ht="19.5" customHeight="1" thickBot="1">
      <c r="A26" s="55"/>
      <c r="B26" s="4" t="s">
        <v>15</v>
      </c>
      <c r="C26" s="57">
        <v>2.5</v>
      </c>
    </row>
    <row r="27" spans="1:3" ht="19.5" customHeight="1" thickBot="1">
      <c r="A27" s="55"/>
      <c r="B27" s="4" t="s">
        <v>17</v>
      </c>
      <c r="C27" s="57">
        <v>38</v>
      </c>
    </row>
    <row r="28" spans="1:3" ht="19.5" customHeight="1" thickBot="1">
      <c r="A28" s="56"/>
      <c r="B28" s="4" t="s">
        <v>154</v>
      </c>
      <c r="C28" s="57">
        <v>51.5</v>
      </c>
    </row>
    <row r="29" spans="1:3" ht="19.5" customHeight="1" thickBot="1">
      <c r="A29" s="6" t="s">
        <v>18</v>
      </c>
      <c r="B29" s="7" t="s">
        <v>14</v>
      </c>
      <c r="C29" s="58">
        <v>0</v>
      </c>
    </row>
  </sheetData>
  <mergeCells count="4">
    <mergeCell ref="A3:A11"/>
    <mergeCell ref="A12:A20"/>
    <mergeCell ref="A22:A23"/>
    <mergeCell ref="A24:A28"/>
  </mergeCells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Y22"/>
  <sheetViews>
    <sheetView zoomScale="75" zoomScaleNormal="75" workbookViewId="0">
      <selection activeCell="B5" sqref="B5"/>
    </sheetView>
  </sheetViews>
  <sheetFormatPr defaultRowHeight="13.5"/>
  <cols>
    <col min="1" max="1" width="17.875" style="14" customWidth="1"/>
    <col min="2" max="2" width="12.125" bestFit="1" customWidth="1"/>
  </cols>
  <sheetData>
    <row r="1" spans="1:25">
      <c r="A1" s="14" t="s">
        <v>21</v>
      </c>
      <c r="B1" s="11">
        <v>41573</v>
      </c>
    </row>
    <row r="2" spans="1:25">
      <c r="A2" s="14" t="s">
        <v>22</v>
      </c>
      <c r="B2" s="11">
        <v>41603</v>
      </c>
    </row>
    <row r="3" spans="1:25">
      <c r="A3" s="14" t="s">
        <v>25</v>
      </c>
    </row>
    <row r="4" spans="1:25">
      <c r="A4" s="29" t="s">
        <v>54</v>
      </c>
      <c r="B4" s="30" t="s">
        <v>179</v>
      </c>
      <c r="C4" s="9"/>
      <c r="D4" s="9"/>
      <c r="E4" s="9"/>
      <c r="F4" s="9"/>
      <c r="G4" s="9"/>
      <c r="H4" s="9"/>
      <c r="I4" s="9"/>
      <c r="J4" s="9"/>
      <c r="K4" s="9"/>
    </row>
    <row r="5" spans="1:25">
      <c r="A5" s="14" t="s">
        <v>19</v>
      </c>
      <c r="B5" s="10" t="s">
        <v>23</v>
      </c>
    </row>
    <row r="6" spans="1:25">
      <c r="A6" s="14" t="s">
        <v>20</v>
      </c>
      <c r="B6" t="s">
        <v>24</v>
      </c>
    </row>
    <row r="7" spans="1:25">
      <c r="A7" s="14" t="s">
        <v>40</v>
      </c>
      <c r="B7" s="11" t="s">
        <v>39</v>
      </c>
    </row>
    <row r="8" spans="1:25">
      <c r="A8" s="14" t="s">
        <v>41</v>
      </c>
      <c r="B8" s="11" t="s">
        <v>42</v>
      </c>
    </row>
    <row r="9" spans="1:25">
      <c r="A9" s="14" t="s">
        <v>43</v>
      </c>
      <c r="B9" s="15">
        <v>1</v>
      </c>
    </row>
    <row r="10" spans="1:25">
      <c r="A10" s="14" t="s">
        <v>130</v>
      </c>
      <c r="B10" s="15" t="s">
        <v>132</v>
      </c>
    </row>
    <row r="11" spans="1:25">
      <c r="A11" s="14" t="s">
        <v>131</v>
      </c>
      <c r="B11" s="15" t="s">
        <v>133</v>
      </c>
    </row>
    <row r="12" spans="1:25">
      <c r="A12" s="14" t="s">
        <v>134</v>
      </c>
      <c r="B12" s="15" t="s">
        <v>135</v>
      </c>
      <c r="C12" t="s">
        <v>136</v>
      </c>
    </row>
    <row r="13" spans="1:25">
      <c r="A13" s="14" t="s">
        <v>26</v>
      </c>
      <c r="B13" t="s">
        <v>27</v>
      </c>
      <c r="C13" t="s">
        <v>28</v>
      </c>
      <c r="D13" t="s">
        <v>29</v>
      </c>
      <c r="E13" t="s">
        <v>30</v>
      </c>
      <c r="F13" t="s">
        <v>31</v>
      </c>
      <c r="G13" t="s">
        <v>32</v>
      </c>
      <c r="H13" t="s">
        <v>33</v>
      </c>
      <c r="I13" t="s">
        <v>34</v>
      </c>
      <c r="J13" t="s">
        <v>35</v>
      </c>
      <c r="K13" t="s">
        <v>36</v>
      </c>
      <c r="L13" t="s">
        <v>37</v>
      </c>
      <c r="M13" t="s">
        <v>38</v>
      </c>
      <c r="N13" t="s">
        <v>140</v>
      </c>
      <c r="O13" t="s">
        <v>141</v>
      </c>
      <c r="P13" t="s">
        <v>142</v>
      </c>
      <c r="Q13" t="s">
        <v>145</v>
      </c>
      <c r="R13" t="s">
        <v>146</v>
      </c>
      <c r="S13" t="s">
        <v>147</v>
      </c>
      <c r="T13" t="s">
        <v>148</v>
      </c>
      <c r="U13" t="s">
        <v>149</v>
      </c>
      <c r="V13" t="s">
        <v>143</v>
      </c>
      <c r="W13" t="s">
        <v>144</v>
      </c>
      <c r="X13" t="s">
        <v>150</v>
      </c>
      <c r="Y13" t="s">
        <v>151</v>
      </c>
    </row>
    <row r="14" spans="1:25">
      <c r="A14" s="14" t="s">
        <v>62</v>
      </c>
      <c r="B14" t="s">
        <v>2</v>
      </c>
      <c r="C14" t="s">
        <v>3</v>
      </c>
      <c r="D14" t="s">
        <v>4</v>
      </c>
      <c r="E14" t="s">
        <v>5</v>
      </c>
      <c r="F14" t="s">
        <v>6</v>
      </c>
      <c r="G14" t="s">
        <v>7</v>
      </c>
      <c r="H14" t="s">
        <v>8</v>
      </c>
      <c r="I14" t="s">
        <v>9</v>
      </c>
      <c r="J14" t="s">
        <v>15</v>
      </c>
      <c r="K14" t="s">
        <v>17</v>
      </c>
      <c r="L14" t="s">
        <v>14</v>
      </c>
      <c r="M14" t="s">
        <v>153</v>
      </c>
      <c r="N14" t="s">
        <v>109</v>
      </c>
      <c r="O14" t="s">
        <v>110</v>
      </c>
      <c r="P14" t="s">
        <v>111</v>
      </c>
      <c r="Q14" t="s">
        <v>113</v>
      </c>
      <c r="R14" t="s">
        <v>114</v>
      </c>
      <c r="S14" t="s">
        <v>115</v>
      </c>
      <c r="T14" t="s">
        <v>116</v>
      </c>
      <c r="U14" t="s">
        <v>118</v>
      </c>
      <c r="V14" t="s">
        <v>137</v>
      </c>
      <c r="W14" t="s">
        <v>121</v>
      </c>
      <c r="X14" t="s">
        <v>138</v>
      </c>
      <c r="Y14" t="s">
        <v>139</v>
      </c>
    </row>
    <row r="21" spans="2:3">
      <c r="B21" s="11" t="s">
        <v>53</v>
      </c>
      <c r="C21" t="s">
        <v>63</v>
      </c>
    </row>
    <row r="22" spans="2:3">
      <c r="B22" t="s">
        <v>66</v>
      </c>
    </row>
  </sheetData>
  <dataConsolidate/>
  <phoneticPr fontId="5"/>
  <hyperlinks>
    <hyperlink ref="B5" r:id="rId1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4"/>
  <sheetViews>
    <sheetView workbookViewId="0"/>
  </sheetViews>
  <sheetFormatPr defaultRowHeight="13.5"/>
  <sheetData>
    <row r="1" spans="1:3">
      <c r="A1" t="s">
        <v>1</v>
      </c>
      <c r="B1" t="s">
        <v>157</v>
      </c>
      <c r="C1">
        <v>168</v>
      </c>
    </row>
    <row r="2" spans="1:3">
      <c r="A2" t="s">
        <v>1</v>
      </c>
      <c r="B2" t="s">
        <v>3</v>
      </c>
      <c r="C2">
        <v>47.5</v>
      </c>
    </row>
    <row r="3" spans="1:3">
      <c r="A3" t="s">
        <v>1</v>
      </c>
      <c r="B3" t="s">
        <v>158</v>
      </c>
      <c r="C3">
        <v>27</v>
      </c>
    </row>
    <row r="4" spans="1:3">
      <c r="A4" t="s">
        <v>1</v>
      </c>
      <c r="B4" t="s">
        <v>159</v>
      </c>
      <c r="C4">
        <v>120.5</v>
      </c>
    </row>
    <row r="5" spans="1:3">
      <c r="A5" t="s">
        <v>1</v>
      </c>
      <c r="B5" t="s">
        <v>160</v>
      </c>
      <c r="C5">
        <v>79.5</v>
      </c>
    </row>
    <row r="6" spans="1:3">
      <c r="A6" t="s">
        <v>1</v>
      </c>
      <c r="B6" t="s">
        <v>161</v>
      </c>
      <c r="C6">
        <v>0.5</v>
      </c>
    </row>
    <row r="7" spans="1:3">
      <c r="A7" t="s">
        <v>1</v>
      </c>
      <c r="B7" t="s">
        <v>8</v>
      </c>
      <c r="C7">
        <v>74.5</v>
      </c>
    </row>
    <row r="8" spans="1:3">
      <c r="A8" t="s">
        <v>1</v>
      </c>
      <c r="B8" t="s">
        <v>162</v>
      </c>
      <c r="C8">
        <v>13.5</v>
      </c>
    </row>
    <row r="9" spans="1:3">
      <c r="A9" t="s">
        <v>1</v>
      </c>
      <c r="B9" t="s">
        <v>163</v>
      </c>
      <c r="C9">
        <v>0</v>
      </c>
    </row>
    <row r="10" spans="1:3">
      <c r="A10" t="s">
        <v>1</v>
      </c>
      <c r="B10" t="s">
        <v>164</v>
      </c>
      <c r="C10">
        <v>4</v>
      </c>
    </row>
    <row r="11" spans="1:3">
      <c r="A11" t="s">
        <v>1</v>
      </c>
      <c r="B11" t="s">
        <v>165</v>
      </c>
      <c r="C11">
        <v>0</v>
      </c>
    </row>
    <row r="12" spans="1:3">
      <c r="A12" t="s">
        <v>1</v>
      </c>
      <c r="B12" t="s">
        <v>166</v>
      </c>
      <c r="C12">
        <v>18</v>
      </c>
    </row>
    <row r="13" spans="1:3">
      <c r="A13" t="s">
        <v>1</v>
      </c>
      <c r="B13" t="s">
        <v>167</v>
      </c>
      <c r="C13">
        <v>0</v>
      </c>
    </row>
    <row r="14" spans="1:3">
      <c r="A14" t="s">
        <v>1</v>
      </c>
      <c r="B14" t="s">
        <v>168</v>
      </c>
      <c r="C14">
        <v>0</v>
      </c>
    </row>
    <row r="15" spans="1:3">
      <c r="A15" t="s">
        <v>1</v>
      </c>
      <c r="B15" t="s">
        <v>169</v>
      </c>
      <c r="C15">
        <v>0</v>
      </c>
    </row>
    <row r="16" spans="1:3">
      <c r="A16" t="s">
        <v>1</v>
      </c>
      <c r="B16" t="s">
        <v>170</v>
      </c>
      <c r="C16">
        <v>0</v>
      </c>
    </row>
    <row r="17" spans="1:3">
      <c r="A17" t="s">
        <v>1</v>
      </c>
      <c r="B17" t="s">
        <v>171</v>
      </c>
      <c r="C17">
        <v>0</v>
      </c>
    </row>
    <row r="18" spans="1:3">
      <c r="A18" t="s">
        <v>1</v>
      </c>
      <c r="B18" t="s">
        <v>172</v>
      </c>
      <c r="C18">
        <v>0</v>
      </c>
    </row>
    <row r="19" spans="1:3">
      <c r="A19" t="s">
        <v>1</v>
      </c>
      <c r="B19" t="s">
        <v>173</v>
      </c>
      <c r="C19">
        <v>0</v>
      </c>
    </row>
    <row r="20" spans="1:3">
      <c r="A20" t="s">
        <v>1</v>
      </c>
      <c r="B20" t="s">
        <v>174</v>
      </c>
      <c r="C20">
        <v>0</v>
      </c>
    </row>
    <row r="21" spans="1:3">
      <c r="A21" t="s">
        <v>1</v>
      </c>
      <c r="B21" t="s">
        <v>175</v>
      </c>
      <c r="C21">
        <v>0</v>
      </c>
    </row>
    <row r="22" spans="1:3">
      <c r="A22" t="s">
        <v>1</v>
      </c>
      <c r="B22" t="s">
        <v>176</v>
      </c>
      <c r="C22">
        <v>0</v>
      </c>
    </row>
    <row r="23" spans="1:3">
      <c r="A23" t="s">
        <v>1</v>
      </c>
      <c r="B23" t="s">
        <v>177</v>
      </c>
      <c r="C23">
        <v>1</v>
      </c>
    </row>
    <row r="24" spans="1:3">
      <c r="A24" t="s">
        <v>1</v>
      </c>
      <c r="B24" t="s">
        <v>178</v>
      </c>
      <c r="C24">
        <v>4</v>
      </c>
    </row>
    <row r="25" spans="1:3">
      <c r="A25" t="s">
        <v>11</v>
      </c>
      <c r="B25" t="s">
        <v>157</v>
      </c>
      <c r="C25">
        <v>35.5</v>
      </c>
    </row>
    <row r="26" spans="1:3">
      <c r="A26" t="s">
        <v>11</v>
      </c>
      <c r="B26" t="s">
        <v>3</v>
      </c>
      <c r="C26">
        <v>169.5</v>
      </c>
    </row>
    <row r="27" spans="1:3">
      <c r="A27" t="s">
        <v>11</v>
      </c>
      <c r="B27" t="s">
        <v>158</v>
      </c>
      <c r="C27">
        <v>40</v>
      </c>
    </row>
    <row r="28" spans="1:3">
      <c r="A28" t="s">
        <v>11</v>
      </c>
      <c r="B28" t="s">
        <v>159</v>
      </c>
      <c r="C28">
        <v>364.5</v>
      </c>
    </row>
    <row r="29" spans="1:3">
      <c r="A29" t="s">
        <v>11</v>
      </c>
      <c r="B29" t="s">
        <v>160</v>
      </c>
      <c r="C29">
        <v>55</v>
      </c>
    </row>
    <row r="30" spans="1:3">
      <c r="A30" t="s">
        <v>11</v>
      </c>
      <c r="B30" t="s">
        <v>161</v>
      </c>
      <c r="C30">
        <v>0</v>
      </c>
    </row>
    <row r="31" spans="1:3">
      <c r="A31" t="s">
        <v>11</v>
      </c>
      <c r="B31" t="s">
        <v>8</v>
      </c>
      <c r="C31">
        <v>0</v>
      </c>
    </row>
    <row r="32" spans="1:3">
      <c r="A32" t="s">
        <v>11</v>
      </c>
      <c r="B32" t="s">
        <v>162</v>
      </c>
      <c r="C32">
        <v>0</v>
      </c>
    </row>
    <row r="33" spans="1:3">
      <c r="A33" t="s">
        <v>11</v>
      </c>
      <c r="B33" t="s">
        <v>163</v>
      </c>
      <c r="C33">
        <v>0</v>
      </c>
    </row>
    <row r="34" spans="1:3">
      <c r="A34" t="s">
        <v>11</v>
      </c>
      <c r="B34" t="s">
        <v>164</v>
      </c>
      <c r="C34">
        <v>0</v>
      </c>
    </row>
    <row r="35" spans="1:3">
      <c r="A35" t="s">
        <v>11</v>
      </c>
      <c r="B35" t="s">
        <v>165</v>
      </c>
      <c r="C35">
        <v>0</v>
      </c>
    </row>
    <row r="36" spans="1:3">
      <c r="A36" t="s">
        <v>11</v>
      </c>
      <c r="B36" t="s">
        <v>166</v>
      </c>
      <c r="C36">
        <v>8.5</v>
      </c>
    </row>
    <row r="37" spans="1:3">
      <c r="A37" t="s">
        <v>11</v>
      </c>
      <c r="B37" t="s">
        <v>167</v>
      </c>
      <c r="C37">
        <v>0</v>
      </c>
    </row>
    <row r="38" spans="1:3">
      <c r="A38" t="s">
        <v>11</v>
      </c>
      <c r="B38" t="s">
        <v>168</v>
      </c>
      <c r="C38">
        <v>0</v>
      </c>
    </row>
    <row r="39" spans="1:3">
      <c r="A39" t="s">
        <v>11</v>
      </c>
      <c r="B39" t="s">
        <v>169</v>
      </c>
      <c r="C39">
        <v>0</v>
      </c>
    </row>
    <row r="40" spans="1:3">
      <c r="A40" t="s">
        <v>11</v>
      </c>
      <c r="B40" t="s">
        <v>170</v>
      </c>
      <c r="C40">
        <v>0</v>
      </c>
    </row>
    <row r="41" spans="1:3">
      <c r="A41" t="s">
        <v>11</v>
      </c>
      <c r="B41" t="s">
        <v>171</v>
      </c>
      <c r="C41">
        <v>0</v>
      </c>
    </row>
    <row r="42" spans="1:3">
      <c r="A42" t="s">
        <v>11</v>
      </c>
      <c r="B42" t="s">
        <v>172</v>
      </c>
      <c r="C42">
        <v>0</v>
      </c>
    </row>
    <row r="43" spans="1:3">
      <c r="A43" t="s">
        <v>11</v>
      </c>
      <c r="B43" t="s">
        <v>173</v>
      </c>
      <c r="C43">
        <v>0</v>
      </c>
    </row>
    <row r="44" spans="1:3">
      <c r="A44" t="s">
        <v>11</v>
      </c>
      <c r="B44" t="s">
        <v>174</v>
      </c>
      <c r="C44">
        <v>0</v>
      </c>
    </row>
    <row r="45" spans="1:3">
      <c r="A45" t="s">
        <v>11</v>
      </c>
      <c r="B45" t="s">
        <v>175</v>
      </c>
      <c r="C45">
        <v>0</v>
      </c>
    </row>
    <row r="46" spans="1:3">
      <c r="A46" t="s">
        <v>11</v>
      </c>
      <c r="B46" t="s">
        <v>176</v>
      </c>
      <c r="C46">
        <v>0</v>
      </c>
    </row>
    <row r="47" spans="1:3">
      <c r="A47" t="s">
        <v>11</v>
      </c>
      <c r="B47" t="s">
        <v>177</v>
      </c>
      <c r="C47">
        <v>0</v>
      </c>
    </row>
    <row r="48" spans="1:3">
      <c r="A48" t="s">
        <v>11</v>
      </c>
      <c r="B48" t="s">
        <v>178</v>
      </c>
      <c r="C48">
        <v>0</v>
      </c>
    </row>
    <row r="49" spans="1:3">
      <c r="A49" t="s">
        <v>12</v>
      </c>
      <c r="B49" t="s">
        <v>157</v>
      </c>
      <c r="C49">
        <v>0</v>
      </c>
    </row>
    <row r="50" spans="1:3">
      <c r="A50" t="s">
        <v>12</v>
      </c>
      <c r="B50" t="s">
        <v>3</v>
      </c>
      <c r="C50">
        <v>0</v>
      </c>
    </row>
    <row r="51" spans="1:3">
      <c r="A51" t="s">
        <v>12</v>
      </c>
      <c r="B51" t="s">
        <v>158</v>
      </c>
      <c r="C51">
        <v>0</v>
      </c>
    </row>
    <row r="52" spans="1:3">
      <c r="A52" t="s">
        <v>12</v>
      </c>
      <c r="B52" t="s">
        <v>159</v>
      </c>
      <c r="C52">
        <v>0</v>
      </c>
    </row>
    <row r="53" spans="1:3">
      <c r="A53" t="s">
        <v>12</v>
      </c>
      <c r="B53" t="s">
        <v>160</v>
      </c>
      <c r="C53">
        <v>0</v>
      </c>
    </row>
    <row r="54" spans="1:3">
      <c r="A54" t="s">
        <v>12</v>
      </c>
      <c r="B54" t="s">
        <v>161</v>
      </c>
      <c r="C54">
        <v>0</v>
      </c>
    </row>
    <row r="55" spans="1:3">
      <c r="A55" t="s">
        <v>12</v>
      </c>
      <c r="B55" t="s">
        <v>8</v>
      </c>
      <c r="C55">
        <v>0</v>
      </c>
    </row>
    <row r="56" spans="1:3">
      <c r="A56" t="s">
        <v>12</v>
      </c>
      <c r="B56" t="s">
        <v>162</v>
      </c>
      <c r="C56">
        <v>0</v>
      </c>
    </row>
    <row r="57" spans="1:3">
      <c r="A57" t="s">
        <v>12</v>
      </c>
      <c r="B57" t="s">
        <v>163</v>
      </c>
      <c r="C57">
        <v>0</v>
      </c>
    </row>
    <row r="58" spans="1:3">
      <c r="A58" t="s">
        <v>12</v>
      </c>
      <c r="B58" t="s">
        <v>164</v>
      </c>
      <c r="C58">
        <v>0</v>
      </c>
    </row>
    <row r="59" spans="1:3">
      <c r="A59" t="s">
        <v>12</v>
      </c>
      <c r="B59" t="s">
        <v>165</v>
      </c>
      <c r="C59">
        <v>0</v>
      </c>
    </row>
    <row r="60" spans="1:3">
      <c r="A60" t="s">
        <v>12</v>
      </c>
      <c r="B60" t="s">
        <v>166</v>
      </c>
      <c r="C60">
        <v>0</v>
      </c>
    </row>
    <row r="61" spans="1:3">
      <c r="A61" t="s">
        <v>12</v>
      </c>
      <c r="B61" t="s">
        <v>167</v>
      </c>
      <c r="C61">
        <v>0</v>
      </c>
    </row>
    <row r="62" spans="1:3">
      <c r="A62" t="s">
        <v>12</v>
      </c>
      <c r="B62" t="s">
        <v>168</v>
      </c>
      <c r="C62">
        <v>0</v>
      </c>
    </row>
    <row r="63" spans="1:3">
      <c r="A63" t="s">
        <v>12</v>
      </c>
      <c r="B63" t="s">
        <v>169</v>
      </c>
      <c r="C63">
        <v>0</v>
      </c>
    </row>
    <row r="64" spans="1:3">
      <c r="A64" t="s">
        <v>12</v>
      </c>
      <c r="B64" t="s">
        <v>170</v>
      </c>
      <c r="C64">
        <v>0</v>
      </c>
    </row>
    <row r="65" spans="1:3">
      <c r="A65" t="s">
        <v>12</v>
      </c>
      <c r="B65" t="s">
        <v>171</v>
      </c>
      <c r="C65">
        <v>0</v>
      </c>
    </row>
    <row r="66" spans="1:3">
      <c r="A66" t="s">
        <v>12</v>
      </c>
      <c r="B66" t="s">
        <v>172</v>
      </c>
      <c r="C66">
        <v>0</v>
      </c>
    </row>
    <row r="67" spans="1:3">
      <c r="A67" t="s">
        <v>12</v>
      </c>
      <c r="B67" t="s">
        <v>173</v>
      </c>
      <c r="C67">
        <v>0</v>
      </c>
    </row>
    <row r="68" spans="1:3">
      <c r="A68" t="s">
        <v>12</v>
      </c>
      <c r="B68" t="s">
        <v>174</v>
      </c>
      <c r="C68">
        <v>0</v>
      </c>
    </row>
    <row r="69" spans="1:3">
      <c r="A69" t="s">
        <v>12</v>
      </c>
      <c r="B69" t="s">
        <v>175</v>
      </c>
      <c r="C69">
        <v>0</v>
      </c>
    </row>
    <row r="70" spans="1:3">
      <c r="A70" t="s">
        <v>12</v>
      </c>
      <c r="B70" t="s">
        <v>176</v>
      </c>
      <c r="C70">
        <v>0</v>
      </c>
    </row>
    <row r="71" spans="1:3">
      <c r="A71" t="s">
        <v>12</v>
      </c>
      <c r="B71" t="s">
        <v>177</v>
      </c>
      <c r="C71">
        <v>0</v>
      </c>
    </row>
    <row r="72" spans="1:3">
      <c r="A72" t="s">
        <v>12</v>
      </c>
      <c r="B72" t="s">
        <v>178</v>
      </c>
      <c r="C72">
        <v>0</v>
      </c>
    </row>
    <row r="73" spans="1:3">
      <c r="A73" t="s">
        <v>13</v>
      </c>
      <c r="B73" t="s">
        <v>157</v>
      </c>
      <c r="C73">
        <v>0</v>
      </c>
    </row>
    <row r="74" spans="1:3">
      <c r="A74" t="s">
        <v>13</v>
      </c>
      <c r="B74" t="s">
        <v>3</v>
      </c>
      <c r="C74">
        <v>0</v>
      </c>
    </row>
    <row r="75" spans="1:3">
      <c r="A75" t="s">
        <v>13</v>
      </c>
      <c r="B75" t="s">
        <v>158</v>
      </c>
      <c r="C75">
        <v>0</v>
      </c>
    </row>
    <row r="76" spans="1:3">
      <c r="A76" t="s">
        <v>13</v>
      </c>
      <c r="B76" t="s">
        <v>159</v>
      </c>
      <c r="C76">
        <v>0</v>
      </c>
    </row>
    <row r="77" spans="1:3">
      <c r="A77" t="s">
        <v>13</v>
      </c>
      <c r="B77" t="s">
        <v>160</v>
      </c>
      <c r="C77">
        <v>0</v>
      </c>
    </row>
    <row r="78" spans="1:3">
      <c r="A78" t="s">
        <v>13</v>
      </c>
      <c r="B78" t="s">
        <v>161</v>
      </c>
      <c r="C78">
        <v>0</v>
      </c>
    </row>
    <row r="79" spans="1:3">
      <c r="A79" t="s">
        <v>13</v>
      </c>
      <c r="B79" t="s">
        <v>8</v>
      </c>
      <c r="C79">
        <v>0</v>
      </c>
    </row>
    <row r="80" spans="1:3">
      <c r="A80" t="s">
        <v>13</v>
      </c>
      <c r="B80" t="s">
        <v>162</v>
      </c>
      <c r="C80">
        <v>0</v>
      </c>
    </row>
    <row r="81" spans="1:3">
      <c r="A81" t="s">
        <v>13</v>
      </c>
      <c r="B81" t="s">
        <v>163</v>
      </c>
      <c r="C81">
        <v>0</v>
      </c>
    </row>
    <row r="82" spans="1:3">
      <c r="A82" t="s">
        <v>13</v>
      </c>
      <c r="B82" t="s">
        <v>164</v>
      </c>
      <c r="C82">
        <v>0</v>
      </c>
    </row>
    <row r="83" spans="1:3">
      <c r="A83" t="s">
        <v>13</v>
      </c>
      <c r="B83" t="s">
        <v>165</v>
      </c>
      <c r="C83">
        <v>13.5</v>
      </c>
    </row>
    <row r="84" spans="1:3">
      <c r="A84" t="s">
        <v>13</v>
      </c>
      <c r="B84" t="s">
        <v>166</v>
      </c>
      <c r="C84">
        <v>0</v>
      </c>
    </row>
    <row r="85" spans="1:3">
      <c r="A85" t="s">
        <v>13</v>
      </c>
      <c r="B85" t="s">
        <v>167</v>
      </c>
      <c r="C85">
        <v>0</v>
      </c>
    </row>
    <row r="86" spans="1:3">
      <c r="A86" t="s">
        <v>13</v>
      </c>
      <c r="B86" t="s">
        <v>168</v>
      </c>
      <c r="C86">
        <v>0</v>
      </c>
    </row>
    <row r="87" spans="1:3">
      <c r="A87" t="s">
        <v>13</v>
      </c>
      <c r="B87" t="s">
        <v>169</v>
      </c>
      <c r="C87">
        <v>0</v>
      </c>
    </row>
    <row r="88" spans="1:3">
      <c r="A88" t="s">
        <v>13</v>
      </c>
      <c r="B88" t="s">
        <v>170</v>
      </c>
      <c r="C88">
        <v>0</v>
      </c>
    </row>
    <row r="89" spans="1:3">
      <c r="A89" t="s">
        <v>13</v>
      </c>
      <c r="B89" t="s">
        <v>171</v>
      </c>
      <c r="C89">
        <v>0</v>
      </c>
    </row>
    <row r="90" spans="1:3">
      <c r="A90" t="s">
        <v>13</v>
      </c>
      <c r="B90" t="s">
        <v>172</v>
      </c>
      <c r="C90">
        <v>0</v>
      </c>
    </row>
    <row r="91" spans="1:3">
      <c r="A91" t="s">
        <v>13</v>
      </c>
      <c r="B91" t="s">
        <v>173</v>
      </c>
      <c r="C91">
        <v>0</v>
      </c>
    </row>
    <row r="92" spans="1:3">
      <c r="A92" t="s">
        <v>13</v>
      </c>
      <c r="B92" t="s">
        <v>174</v>
      </c>
      <c r="C92">
        <v>0</v>
      </c>
    </row>
    <row r="93" spans="1:3">
      <c r="A93" t="s">
        <v>13</v>
      </c>
      <c r="B93" t="s">
        <v>175</v>
      </c>
      <c r="C93">
        <v>0</v>
      </c>
    </row>
    <row r="94" spans="1:3">
      <c r="A94" t="s">
        <v>13</v>
      </c>
      <c r="B94" t="s">
        <v>176</v>
      </c>
      <c r="C94">
        <v>0</v>
      </c>
    </row>
    <row r="95" spans="1:3">
      <c r="A95" t="s">
        <v>13</v>
      </c>
      <c r="B95" t="s">
        <v>177</v>
      </c>
      <c r="C95">
        <v>0</v>
      </c>
    </row>
    <row r="96" spans="1:3">
      <c r="A96" t="s">
        <v>13</v>
      </c>
      <c r="B96" t="s">
        <v>178</v>
      </c>
      <c r="C96">
        <v>0</v>
      </c>
    </row>
    <row r="97" spans="1:3">
      <c r="A97" t="s">
        <v>16</v>
      </c>
      <c r="B97" t="s">
        <v>157</v>
      </c>
      <c r="C97">
        <v>92.5</v>
      </c>
    </row>
    <row r="98" spans="1:3">
      <c r="A98" t="s">
        <v>16</v>
      </c>
      <c r="B98" t="s">
        <v>3</v>
      </c>
      <c r="C98">
        <v>0</v>
      </c>
    </row>
    <row r="99" spans="1:3">
      <c r="A99" t="s">
        <v>16</v>
      </c>
      <c r="B99" t="s">
        <v>158</v>
      </c>
      <c r="C99">
        <v>0</v>
      </c>
    </row>
    <row r="100" spans="1:3">
      <c r="A100" t="s">
        <v>16</v>
      </c>
      <c r="B100" t="s">
        <v>159</v>
      </c>
      <c r="C100">
        <v>0</v>
      </c>
    </row>
    <row r="101" spans="1:3">
      <c r="A101" t="s">
        <v>16</v>
      </c>
      <c r="B101" t="s">
        <v>160</v>
      </c>
      <c r="C101">
        <v>0</v>
      </c>
    </row>
    <row r="102" spans="1:3">
      <c r="A102" t="s">
        <v>16</v>
      </c>
      <c r="B102" t="s">
        <v>161</v>
      </c>
      <c r="C102">
        <v>0.5</v>
      </c>
    </row>
    <row r="103" spans="1:3">
      <c r="A103" t="s">
        <v>16</v>
      </c>
      <c r="B103" t="s">
        <v>8</v>
      </c>
      <c r="C103">
        <v>5</v>
      </c>
    </row>
    <row r="104" spans="1:3">
      <c r="A104" t="s">
        <v>16</v>
      </c>
      <c r="B104" t="s">
        <v>162</v>
      </c>
      <c r="C104">
        <v>0</v>
      </c>
    </row>
    <row r="105" spans="1:3">
      <c r="A105" t="s">
        <v>16</v>
      </c>
      <c r="B105" t="s">
        <v>163</v>
      </c>
      <c r="C105">
        <v>2.5</v>
      </c>
    </row>
    <row r="106" spans="1:3">
      <c r="A106" t="s">
        <v>16</v>
      </c>
      <c r="B106" t="s">
        <v>164</v>
      </c>
      <c r="C106">
        <v>38</v>
      </c>
    </row>
    <row r="107" spans="1:3">
      <c r="A107" t="s">
        <v>16</v>
      </c>
      <c r="B107" t="s">
        <v>165</v>
      </c>
      <c r="C107">
        <v>0</v>
      </c>
    </row>
    <row r="108" spans="1:3">
      <c r="A108" t="s">
        <v>16</v>
      </c>
      <c r="B108" t="s">
        <v>166</v>
      </c>
      <c r="C108">
        <v>51.5</v>
      </c>
    </row>
    <row r="109" spans="1:3">
      <c r="A109" t="s">
        <v>16</v>
      </c>
      <c r="B109" t="s">
        <v>167</v>
      </c>
      <c r="C109">
        <v>0</v>
      </c>
    </row>
    <row r="110" spans="1:3">
      <c r="A110" t="s">
        <v>16</v>
      </c>
      <c r="B110" t="s">
        <v>168</v>
      </c>
      <c r="C110">
        <v>0</v>
      </c>
    </row>
    <row r="111" spans="1:3">
      <c r="A111" t="s">
        <v>16</v>
      </c>
      <c r="B111" t="s">
        <v>169</v>
      </c>
      <c r="C111">
        <v>0</v>
      </c>
    </row>
    <row r="112" spans="1:3">
      <c r="A112" t="s">
        <v>16</v>
      </c>
      <c r="B112" t="s">
        <v>170</v>
      </c>
      <c r="C112">
        <v>0</v>
      </c>
    </row>
    <row r="113" spans="1:3">
      <c r="A113" t="s">
        <v>16</v>
      </c>
      <c r="B113" t="s">
        <v>171</v>
      </c>
      <c r="C113">
        <v>3</v>
      </c>
    </row>
    <row r="114" spans="1:3">
      <c r="A114" t="s">
        <v>16</v>
      </c>
      <c r="B114" t="s">
        <v>172</v>
      </c>
      <c r="C114">
        <v>0</v>
      </c>
    </row>
    <row r="115" spans="1:3">
      <c r="A115" t="s">
        <v>16</v>
      </c>
      <c r="B115" t="s">
        <v>173</v>
      </c>
      <c r="C115">
        <v>0</v>
      </c>
    </row>
    <row r="116" spans="1:3">
      <c r="A116" t="s">
        <v>16</v>
      </c>
      <c r="B116" t="s">
        <v>174</v>
      </c>
      <c r="C116">
        <v>0</v>
      </c>
    </row>
    <row r="117" spans="1:3">
      <c r="A117" t="s">
        <v>16</v>
      </c>
      <c r="B117" t="s">
        <v>175</v>
      </c>
      <c r="C117">
        <v>0</v>
      </c>
    </row>
    <row r="118" spans="1:3">
      <c r="A118" t="s">
        <v>16</v>
      </c>
      <c r="B118" t="s">
        <v>176</v>
      </c>
      <c r="C118">
        <v>0.5</v>
      </c>
    </row>
    <row r="119" spans="1:3">
      <c r="A119" t="s">
        <v>16</v>
      </c>
      <c r="B119" t="s">
        <v>177</v>
      </c>
      <c r="C119">
        <v>0</v>
      </c>
    </row>
    <row r="120" spans="1:3">
      <c r="A120" t="s">
        <v>16</v>
      </c>
      <c r="B120" t="s">
        <v>178</v>
      </c>
      <c r="C120">
        <v>0</v>
      </c>
    </row>
    <row r="121" spans="1:3">
      <c r="A121" t="s">
        <v>18</v>
      </c>
      <c r="B121" t="s">
        <v>157</v>
      </c>
      <c r="C121">
        <v>0</v>
      </c>
    </row>
    <row r="122" spans="1:3">
      <c r="A122" t="s">
        <v>18</v>
      </c>
      <c r="B122" t="s">
        <v>3</v>
      </c>
      <c r="C122">
        <v>0</v>
      </c>
    </row>
    <row r="123" spans="1:3">
      <c r="A123" t="s">
        <v>18</v>
      </c>
      <c r="B123" t="s">
        <v>158</v>
      </c>
      <c r="C123">
        <v>0</v>
      </c>
    </row>
    <row r="124" spans="1:3">
      <c r="A124" t="s">
        <v>18</v>
      </c>
      <c r="B124" t="s">
        <v>159</v>
      </c>
      <c r="C124">
        <v>0</v>
      </c>
    </row>
    <row r="125" spans="1:3">
      <c r="A125" t="s">
        <v>18</v>
      </c>
      <c r="B125" t="s">
        <v>160</v>
      </c>
      <c r="C125">
        <v>0</v>
      </c>
    </row>
    <row r="126" spans="1:3">
      <c r="A126" t="s">
        <v>18</v>
      </c>
      <c r="B126" t="s">
        <v>161</v>
      </c>
      <c r="C126">
        <v>0</v>
      </c>
    </row>
    <row r="127" spans="1:3">
      <c r="A127" t="s">
        <v>18</v>
      </c>
      <c r="B127" t="s">
        <v>8</v>
      </c>
      <c r="C127">
        <v>0</v>
      </c>
    </row>
    <row r="128" spans="1:3">
      <c r="A128" t="s">
        <v>18</v>
      </c>
      <c r="B128" t="s">
        <v>162</v>
      </c>
      <c r="C128">
        <v>0</v>
      </c>
    </row>
    <row r="129" spans="1:3">
      <c r="A129" t="s">
        <v>18</v>
      </c>
      <c r="B129" t="s">
        <v>163</v>
      </c>
      <c r="C129">
        <v>0</v>
      </c>
    </row>
    <row r="130" spans="1:3">
      <c r="A130" t="s">
        <v>18</v>
      </c>
      <c r="B130" t="s">
        <v>164</v>
      </c>
      <c r="C130">
        <v>0</v>
      </c>
    </row>
    <row r="131" spans="1:3">
      <c r="A131" t="s">
        <v>18</v>
      </c>
      <c r="B131" t="s">
        <v>165</v>
      </c>
      <c r="C131">
        <v>0</v>
      </c>
    </row>
    <row r="132" spans="1:3">
      <c r="A132" t="s">
        <v>18</v>
      </c>
      <c r="B132" t="s">
        <v>166</v>
      </c>
      <c r="C132">
        <v>0</v>
      </c>
    </row>
    <row r="133" spans="1:3">
      <c r="A133" t="s">
        <v>18</v>
      </c>
      <c r="B133" t="s">
        <v>167</v>
      </c>
      <c r="C133">
        <v>0</v>
      </c>
    </row>
    <row r="134" spans="1:3">
      <c r="A134" t="s">
        <v>18</v>
      </c>
      <c r="B134" t="s">
        <v>168</v>
      </c>
      <c r="C134">
        <v>0</v>
      </c>
    </row>
    <row r="135" spans="1:3">
      <c r="A135" t="s">
        <v>18</v>
      </c>
      <c r="B135" t="s">
        <v>169</v>
      </c>
      <c r="C135">
        <v>0</v>
      </c>
    </row>
    <row r="136" spans="1:3">
      <c r="A136" t="s">
        <v>18</v>
      </c>
      <c r="B136" t="s">
        <v>170</v>
      </c>
      <c r="C136">
        <v>0</v>
      </c>
    </row>
    <row r="137" spans="1:3">
      <c r="A137" t="s">
        <v>18</v>
      </c>
      <c r="B137" t="s">
        <v>171</v>
      </c>
      <c r="C137">
        <v>0</v>
      </c>
    </row>
    <row r="138" spans="1:3">
      <c r="A138" t="s">
        <v>18</v>
      </c>
      <c r="B138" t="s">
        <v>172</v>
      </c>
      <c r="C138">
        <v>0</v>
      </c>
    </row>
    <row r="139" spans="1:3">
      <c r="A139" t="s">
        <v>18</v>
      </c>
      <c r="B139" t="s">
        <v>173</v>
      </c>
      <c r="C139">
        <v>0</v>
      </c>
    </row>
    <row r="140" spans="1:3">
      <c r="A140" t="s">
        <v>18</v>
      </c>
      <c r="B140" t="s">
        <v>174</v>
      </c>
      <c r="C140">
        <v>0</v>
      </c>
    </row>
    <row r="141" spans="1:3">
      <c r="A141" t="s">
        <v>18</v>
      </c>
      <c r="B141" t="s">
        <v>175</v>
      </c>
      <c r="C141">
        <v>0</v>
      </c>
    </row>
    <row r="142" spans="1:3">
      <c r="A142" t="s">
        <v>18</v>
      </c>
      <c r="B142" t="s">
        <v>176</v>
      </c>
      <c r="C142">
        <v>0</v>
      </c>
    </row>
    <row r="143" spans="1:3">
      <c r="A143" t="s">
        <v>18</v>
      </c>
      <c r="B143" t="s">
        <v>177</v>
      </c>
      <c r="C143">
        <v>0</v>
      </c>
    </row>
    <row r="144" spans="1:3">
      <c r="A144" t="s">
        <v>18</v>
      </c>
      <c r="B144" t="s">
        <v>178</v>
      </c>
      <c r="C144">
        <v>0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4"/>
  <sheetViews>
    <sheetView tabSelected="1" workbookViewId="0">
      <selection activeCell="C12" sqref="C12"/>
    </sheetView>
  </sheetViews>
  <sheetFormatPr defaultRowHeight="13.5"/>
  <cols>
    <col min="1" max="1" width="5.125" style="13" customWidth="1"/>
    <col min="2" max="2" width="16.25" bestFit="1" customWidth="1"/>
    <col min="3" max="3" width="10.375" bestFit="1" customWidth="1"/>
  </cols>
  <sheetData>
    <row r="1" spans="1:7">
      <c r="A1" s="12" t="s">
        <v>86</v>
      </c>
      <c r="B1" s="9" t="s">
        <v>87</v>
      </c>
      <c r="C1" s="9" t="s">
        <v>88</v>
      </c>
      <c r="D1" s="9" t="s">
        <v>89</v>
      </c>
      <c r="G1">
        <v>4</v>
      </c>
    </row>
    <row r="2" spans="1:7">
      <c r="A2" s="13" t="str">
        <f t="shared" ref="A2:A19" si="0">IF(C2&lt;&gt;"",LEFT(C2, $G$1),"")</f>
        <v>togu</v>
      </c>
      <c r="B2" t="s">
        <v>67</v>
      </c>
      <c r="C2" t="s">
        <v>90</v>
      </c>
      <c r="D2" t="s">
        <v>1</v>
      </c>
    </row>
    <row r="3" spans="1:7">
      <c r="A3" s="13" t="str">
        <f t="shared" si="0"/>
        <v>knak</v>
      </c>
      <c r="B3" t="s">
        <v>68</v>
      </c>
      <c r="C3" t="s">
        <v>69</v>
      </c>
      <c r="D3" t="s">
        <v>1</v>
      </c>
    </row>
    <row r="4" spans="1:7">
      <c r="A4" s="13" t="str">
        <f t="shared" si="0"/>
        <v>etom</v>
      </c>
      <c r="B4" t="s">
        <v>70</v>
      </c>
      <c r="C4" t="s">
        <v>91</v>
      </c>
      <c r="D4" t="s">
        <v>1</v>
      </c>
    </row>
    <row r="5" spans="1:7">
      <c r="A5" s="13" t="str">
        <f t="shared" si="0"/>
        <v>tboj</v>
      </c>
      <c r="B5" t="s">
        <v>71</v>
      </c>
      <c r="C5" t="s">
        <v>92</v>
      </c>
      <c r="D5" t="s">
        <v>1</v>
      </c>
    </row>
    <row r="6" spans="1:7">
      <c r="A6" s="13" t="str">
        <f t="shared" si="0"/>
        <v>koha</v>
      </c>
      <c r="B6" t="s">
        <v>72</v>
      </c>
      <c r="C6" t="s">
        <v>73</v>
      </c>
      <c r="D6" t="s">
        <v>11</v>
      </c>
    </row>
    <row r="7" spans="1:7">
      <c r="A7" s="13" t="str">
        <f t="shared" si="0"/>
        <v>hkob</v>
      </c>
      <c r="B7" t="s">
        <v>93</v>
      </c>
      <c r="C7" t="s">
        <v>94</v>
      </c>
      <c r="D7" t="s">
        <v>11</v>
      </c>
    </row>
    <row r="8" spans="1:7">
      <c r="A8" s="13" t="str">
        <f t="shared" si="0"/>
        <v>kyos</v>
      </c>
      <c r="B8" t="s">
        <v>74</v>
      </c>
      <c r="C8" t="s">
        <v>95</v>
      </c>
      <c r="D8" t="s">
        <v>11</v>
      </c>
    </row>
    <row r="9" spans="1:7">
      <c r="A9" s="13" t="str">
        <f t="shared" si="0"/>
        <v>jtom</v>
      </c>
      <c r="B9" t="s">
        <v>75</v>
      </c>
      <c r="C9" t="s">
        <v>96</v>
      </c>
      <c r="D9" t="s">
        <v>11</v>
      </c>
    </row>
    <row r="10" spans="1:7" ht="14.25">
      <c r="A10" s="59" t="str">
        <f t="shared" si="0"/>
        <v>kita</v>
      </c>
      <c r="B10" s="60" t="s">
        <v>180</v>
      </c>
      <c r="C10" s="59" t="s">
        <v>183</v>
      </c>
      <c r="D10" s="59" t="s">
        <v>11</v>
      </c>
    </row>
    <row r="11" spans="1:7" ht="14.25">
      <c r="A11" s="59" t="str">
        <f t="shared" si="0"/>
        <v>inah</v>
      </c>
      <c r="B11" s="60" t="s">
        <v>181</v>
      </c>
      <c r="C11" s="59" t="s">
        <v>184</v>
      </c>
      <c r="D11" s="59" t="s">
        <v>182</v>
      </c>
    </row>
    <row r="12" spans="1:7">
      <c r="A12" s="13" t="str">
        <f t="shared" si="0"/>
        <v>jkob</v>
      </c>
      <c r="B12" t="s">
        <v>76</v>
      </c>
      <c r="C12" t="s">
        <v>97</v>
      </c>
      <c r="D12" t="s">
        <v>16</v>
      </c>
    </row>
    <row r="13" spans="1:7">
      <c r="A13" s="13" t="str">
        <f t="shared" si="0"/>
        <v>khor</v>
      </c>
      <c r="B13" t="s">
        <v>77</v>
      </c>
      <c r="C13" t="s">
        <v>98</v>
      </c>
      <c r="D13" t="s">
        <v>16</v>
      </c>
    </row>
    <row r="14" spans="1:7">
      <c r="A14" s="13" t="str">
        <f t="shared" si="0"/>
        <v>mota</v>
      </c>
      <c r="B14" t="s">
        <v>78</v>
      </c>
      <c r="C14" t="s">
        <v>79</v>
      </c>
      <c r="D14" t="s">
        <v>16</v>
      </c>
    </row>
    <row r="15" spans="1:7">
      <c r="A15" s="13" t="str">
        <f t="shared" si="0"/>
        <v>kkan</v>
      </c>
      <c r="B15" t="s">
        <v>80</v>
      </c>
      <c r="C15" t="s">
        <v>99</v>
      </c>
      <c r="D15" t="s">
        <v>16</v>
      </c>
    </row>
    <row r="16" spans="1:7">
      <c r="A16" s="13" t="str">
        <f t="shared" si="0"/>
        <v>ciwa</v>
      </c>
      <c r="B16" t="s">
        <v>81</v>
      </c>
      <c r="C16" t="s">
        <v>100</v>
      </c>
      <c r="D16" t="s">
        <v>16</v>
      </c>
    </row>
    <row r="17" spans="1:4">
      <c r="A17" s="13" t="str">
        <f t="shared" si="0"/>
        <v>kniw</v>
      </c>
      <c r="B17" t="s">
        <v>82</v>
      </c>
      <c r="C17" t="s">
        <v>101</v>
      </c>
      <c r="D17" t="s">
        <v>13</v>
      </c>
    </row>
    <row r="18" spans="1:4">
      <c r="A18" s="13" t="str">
        <f t="shared" si="0"/>
        <v>yuar</v>
      </c>
      <c r="B18" t="s">
        <v>83</v>
      </c>
      <c r="C18" t="s">
        <v>102</v>
      </c>
      <c r="D18" t="s">
        <v>13</v>
      </c>
    </row>
    <row r="19" spans="1:4">
      <c r="A19" s="13" t="str">
        <f t="shared" si="0"/>
        <v>yusu</v>
      </c>
      <c r="B19" t="s">
        <v>84</v>
      </c>
      <c r="C19" t="s">
        <v>85</v>
      </c>
      <c r="D19" t="s">
        <v>13</v>
      </c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</sheetData>
  <dataConsolidate/>
  <phoneticPr fontId="5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8"/>
  <sheetViews>
    <sheetView workbookViewId="0">
      <selection activeCell="C2" sqref="C2"/>
    </sheetView>
  </sheetViews>
  <sheetFormatPr defaultRowHeight="13.5"/>
  <cols>
    <col min="1" max="1" width="13.125" bestFit="1" customWidth="1"/>
    <col min="2" max="2" width="70.375" bestFit="1" customWidth="1"/>
  </cols>
  <sheetData>
    <row r="1" spans="1:3" ht="14.25" thickBot="1">
      <c r="A1" s="1" t="s">
        <v>103</v>
      </c>
      <c r="B1" s="2" t="s">
        <v>104</v>
      </c>
      <c r="C1" s="3" t="s">
        <v>0</v>
      </c>
    </row>
    <row r="2" spans="1:3" ht="14.25" thickBot="1">
      <c r="A2" s="54" t="s">
        <v>1</v>
      </c>
      <c r="B2" s="4" t="s">
        <v>2</v>
      </c>
      <c r="C2" s="5"/>
    </row>
    <row r="3" spans="1:3" ht="14.25" thickBot="1">
      <c r="A3" s="55"/>
      <c r="B3" s="4" t="s">
        <v>3</v>
      </c>
      <c r="C3" s="5"/>
    </row>
    <row r="4" spans="1:3" ht="14.25" thickBot="1">
      <c r="A4" s="55"/>
      <c r="B4" s="4" t="s">
        <v>4</v>
      </c>
      <c r="C4" s="5"/>
    </row>
    <row r="5" spans="1:3" ht="14.25" thickBot="1">
      <c r="A5" s="55"/>
      <c r="B5" s="4" t="s">
        <v>5</v>
      </c>
      <c r="C5" s="5"/>
    </row>
    <row r="6" spans="1:3" ht="14.25" thickBot="1">
      <c r="A6" s="55"/>
      <c r="B6" s="4" t="s">
        <v>6</v>
      </c>
      <c r="C6" s="5"/>
    </row>
    <row r="7" spans="1:3" ht="14.25" thickBot="1">
      <c r="A7" s="55"/>
      <c r="B7" s="4" t="s">
        <v>7</v>
      </c>
      <c r="C7" s="5"/>
    </row>
    <row r="8" spans="1:3" ht="14.25" thickBot="1">
      <c r="A8" s="55"/>
      <c r="B8" s="4" t="s">
        <v>8</v>
      </c>
      <c r="C8" s="5"/>
    </row>
    <row r="9" spans="1:3" ht="14.25" thickBot="1">
      <c r="A9" s="55"/>
      <c r="B9" s="4" t="s">
        <v>9</v>
      </c>
      <c r="C9" s="5"/>
    </row>
    <row r="10" spans="1:3" ht="14.25" thickBot="1">
      <c r="A10" s="56"/>
      <c r="B10" s="4" t="s">
        <v>10</v>
      </c>
      <c r="C10" s="5"/>
    </row>
    <row r="11" spans="1:3" ht="14.25" thickBot="1">
      <c r="A11" s="54" t="s">
        <v>11</v>
      </c>
      <c r="B11" s="4" t="s">
        <v>2</v>
      </c>
      <c r="C11" s="5"/>
    </row>
    <row r="12" spans="1:3" ht="14.25" thickBot="1">
      <c r="A12" s="55"/>
      <c r="B12" s="4" t="s">
        <v>3</v>
      </c>
      <c r="C12" s="5"/>
    </row>
    <row r="13" spans="1:3" ht="14.25" thickBot="1">
      <c r="A13" s="55"/>
      <c r="B13" s="4" t="s">
        <v>4</v>
      </c>
      <c r="C13" s="5"/>
    </row>
    <row r="14" spans="1:3" ht="14.25" thickBot="1">
      <c r="A14" s="55"/>
      <c r="B14" s="4" t="s">
        <v>5</v>
      </c>
      <c r="C14" s="5"/>
    </row>
    <row r="15" spans="1:3" ht="14.25" thickBot="1">
      <c r="A15" s="55"/>
      <c r="B15" s="4" t="s">
        <v>6</v>
      </c>
      <c r="C15" s="5"/>
    </row>
    <row r="16" spans="1:3" ht="14.25" thickBot="1">
      <c r="A16" s="55"/>
      <c r="B16" s="4" t="s">
        <v>7</v>
      </c>
      <c r="C16" s="5"/>
    </row>
    <row r="17" spans="1:3" ht="14.25" thickBot="1">
      <c r="A17" s="55"/>
      <c r="B17" s="4" t="s">
        <v>8</v>
      </c>
      <c r="C17" s="5"/>
    </row>
    <row r="18" spans="1:3" ht="14.25" thickBot="1">
      <c r="A18" s="55"/>
      <c r="B18" s="4" t="s">
        <v>9</v>
      </c>
      <c r="C18" s="5"/>
    </row>
    <row r="19" spans="1:3" ht="14.25" thickBot="1">
      <c r="A19" s="56"/>
      <c r="B19" s="4" t="s">
        <v>10</v>
      </c>
      <c r="C19" s="5"/>
    </row>
    <row r="20" spans="1:3" ht="14.25" thickBot="1">
      <c r="A20" s="16" t="s">
        <v>12</v>
      </c>
      <c r="B20" s="4" t="s">
        <v>156</v>
      </c>
      <c r="C20" s="5"/>
    </row>
    <row r="21" spans="1:3" ht="14.25" thickBot="1">
      <c r="A21" s="54" t="s">
        <v>13</v>
      </c>
      <c r="B21" s="4" t="s">
        <v>14</v>
      </c>
      <c r="C21" s="5"/>
    </row>
    <row r="22" spans="1:3" ht="14.25" thickBot="1">
      <c r="A22" s="56"/>
      <c r="B22" s="4" t="s">
        <v>15</v>
      </c>
      <c r="C22" s="5"/>
    </row>
    <row r="23" spans="1:3" ht="14.25" thickBot="1">
      <c r="A23" s="54" t="s">
        <v>16</v>
      </c>
      <c r="B23" s="4" t="s">
        <v>2</v>
      </c>
      <c r="C23" s="5"/>
    </row>
    <row r="24" spans="1:3" ht="14.25" thickBot="1">
      <c r="A24" s="55"/>
      <c r="B24" s="4" t="s">
        <v>155</v>
      </c>
      <c r="C24" s="5"/>
    </row>
    <row r="25" spans="1:3" ht="14.25" thickBot="1">
      <c r="A25" s="55"/>
      <c r="B25" s="4" t="s">
        <v>15</v>
      </c>
      <c r="C25" s="5"/>
    </row>
    <row r="26" spans="1:3" ht="14.25" thickBot="1">
      <c r="A26" s="55"/>
      <c r="B26" s="4" t="s">
        <v>17</v>
      </c>
      <c r="C26" s="5"/>
    </row>
    <row r="27" spans="1:3" ht="14.25" thickBot="1">
      <c r="A27" s="56"/>
      <c r="B27" s="4" t="s">
        <v>154</v>
      </c>
      <c r="C27" s="5"/>
    </row>
    <row r="28" spans="1:3" ht="14.25" thickBot="1">
      <c r="A28" s="6" t="s">
        <v>18</v>
      </c>
      <c r="B28" s="7" t="s">
        <v>14</v>
      </c>
      <c r="C28" s="8"/>
    </row>
  </sheetData>
  <mergeCells count="4">
    <mergeCell ref="A2:A10"/>
    <mergeCell ref="A11:A19"/>
    <mergeCell ref="A21:A22"/>
    <mergeCell ref="A23:A27"/>
  </mergeCells>
  <phoneticPr fontId="5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9"/>
  <sheetViews>
    <sheetView topLeftCell="A7" workbookViewId="0"/>
  </sheetViews>
  <sheetFormatPr defaultRowHeight="13.5"/>
  <cols>
    <col min="1" max="1" width="13.125" style="26" bestFit="1" customWidth="1"/>
    <col min="2" max="2" width="19.5" style="26" bestFit="1" customWidth="1"/>
    <col min="3" max="3" width="55.375" style="28" customWidth="1"/>
    <col min="4" max="4" width="9" style="35"/>
    <col min="5" max="16384" width="9" style="26"/>
  </cols>
  <sheetData>
    <row r="1" spans="1:4" ht="14.25" thickBot="1">
      <c r="A1" s="24" t="s">
        <v>105</v>
      </c>
      <c r="B1" s="25" t="s">
        <v>106</v>
      </c>
      <c r="C1" s="17" t="s">
        <v>107</v>
      </c>
      <c r="D1" s="25" t="s">
        <v>0</v>
      </c>
    </row>
    <row r="2" spans="1:4" ht="14.25" thickBot="1">
      <c r="A2" s="49" t="s">
        <v>1</v>
      </c>
      <c r="B2" s="40" t="s">
        <v>108</v>
      </c>
      <c r="C2" s="18" t="s">
        <v>109</v>
      </c>
      <c r="D2" s="31"/>
    </row>
    <row r="3" spans="1:4" ht="26.25" thickBot="1">
      <c r="A3" s="38"/>
      <c r="B3" s="41"/>
      <c r="C3" s="19" t="s">
        <v>110</v>
      </c>
      <c r="D3" s="32"/>
    </row>
    <row r="4" spans="1:4" ht="14.25" thickBot="1">
      <c r="A4" s="38"/>
      <c r="B4" s="42"/>
      <c r="C4" s="18" t="s">
        <v>111</v>
      </c>
      <c r="D4" s="31"/>
    </row>
    <row r="5" spans="1:4" ht="14.25" thickBot="1">
      <c r="A5" s="38"/>
      <c r="B5" s="40" t="s">
        <v>112</v>
      </c>
      <c r="C5" s="18" t="s">
        <v>113</v>
      </c>
      <c r="D5" s="31"/>
    </row>
    <row r="6" spans="1:4" ht="14.25" thickBot="1">
      <c r="A6" s="38"/>
      <c r="B6" s="41"/>
      <c r="C6" s="18" t="s">
        <v>114</v>
      </c>
      <c r="D6" s="31"/>
    </row>
    <row r="7" spans="1:4" ht="14.25" thickBot="1">
      <c r="A7" s="38"/>
      <c r="B7" s="41"/>
      <c r="C7" s="18" t="s">
        <v>115</v>
      </c>
      <c r="D7" s="31"/>
    </row>
    <row r="8" spans="1:4" ht="14.25" thickBot="1">
      <c r="A8" s="38"/>
      <c r="B8" s="42"/>
      <c r="C8" s="19" t="s">
        <v>116</v>
      </c>
      <c r="D8" s="32"/>
    </row>
    <row r="9" spans="1:4" ht="14.25" thickBot="1">
      <c r="A9" s="38"/>
      <c r="B9" s="27" t="s">
        <v>117</v>
      </c>
      <c r="C9" s="18" t="s">
        <v>118</v>
      </c>
      <c r="D9" s="31"/>
    </row>
    <row r="10" spans="1:4" ht="14.25" thickBot="1">
      <c r="A10" s="38"/>
      <c r="B10" s="49" t="s">
        <v>119</v>
      </c>
      <c r="C10" s="20" t="s">
        <v>120</v>
      </c>
      <c r="D10" s="33"/>
    </row>
    <row r="11" spans="1:4" ht="14.25" thickBot="1">
      <c r="A11" s="38"/>
      <c r="B11" s="38"/>
      <c r="C11" s="20" t="s">
        <v>121</v>
      </c>
      <c r="D11" s="33"/>
    </row>
    <row r="12" spans="1:4" ht="26.25" thickBot="1">
      <c r="A12" s="38"/>
      <c r="B12" s="38"/>
      <c r="C12" s="21" t="s">
        <v>122</v>
      </c>
      <c r="D12" s="33"/>
    </row>
    <row r="13" spans="1:4" ht="25.5" thickBot="1">
      <c r="A13" s="39"/>
      <c r="B13" s="39"/>
      <c r="C13" s="21" t="s">
        <v>123</v>
      </c>
      <c r="D13" s="33"/>
    </row>
    <row r="14" spans="1:4" ht="14.25" thickBot="1">
      <c r="A14" s="51" t="s">
        <v>11</v>
      </c>
      <c r="B14" s="46" t="s">
        <v>108</v>
      </c>
      <c r="C14" s="18" t="s">
        <v>109</v>
      </c>
      <c r="D14" s="31"/>
    </row>
    <row r="15" spans="1:4" ht="26.25" thickBot="1">
      <c r="A15" s="52"/>
      <c r="B15" s="47"/>
      <c r="C15" s="18" t="s">
        <v>110</v>
      </c>
      <c r="D15" s="31"/>
    </row>
    <row r="16" spans="1:4" ht="14.25" thickBot="1">
      <c r="A16" s="52"/>
      <c r="B16" s="48"/>
      <c r="C16" s="18" t="s">
        <v>111</v>
      </c>
      <c r="D16" s="31"/>
    </row>
    <row r="17" spans="1:4" ht="14.25" thickBot="1">
      <c r="A17" s="52"/>
      <c r="B17" s="46" t="s">
        <v>112</v>
      </c>
      <c r="C17" s="18" t="s">
        <v>113</v>
      </c>
      <c r="D17" s="31"/>
    </row>
    <row r="18" spans="1:4" ht="14.25" thickBot="1">
      <c r="A18" s="52"/>
      <c r="B18" s="47"/>
      <c r="C18" s="18" t="s">
        <v>114</v>
      </c>
      <c r="D18" s="31"/>
    </row>
    <row r="19" spans="1:4" ht="14.25" thickBot="1">
      <c r="A19" s="52"/>
      <c r="B19" s="47"/>
      <c r="C19" s="18" t="s">
        <v>115</v>
      </c>
      <c r="D19" s="31"/>
    </row>
    <row r="20" spans="1:4" ht="14.25" thickBot="1">
      <c r="A20" s="52"/>
      <c r="B20" s="48"/>
      <c r="C20" s="18" t="s">
        <v>116</v>
      </c>
      <c r="D20" s="31"/>
    </row>
    <row r="21" spans="1:4" ht="14.25" thickBot="1">
      <c r="A21" s="52"/>
      <c r="B21" s="27" t="s">
        <v>117</v>
      </c>
      <c r="C21" s="18" t="s">
        <v>118</v>
      </c>
      <c r="D21" s="31"/>
    </row>
    <row r="22" spans="1:4" ht="14.25" thickBot="1">
      <c r="A22" s="52"/>
      <c r="B22" s="49" t="s">
        <v>119</v>
      </c>
      <c r="C22" s="20" t="s">
        <v>120</v>
      </c>
      <c r="D22" s="33"/>
    </row>
    <row r="23" spans="1:4" ht="14.25" thickBot="1">
      <c r="A23" s="52"/>
      <c r="B23" s="38"/>
      <c r="C23" s="20" t="s">
        <v>121</v>
      </c>
      <c r="D23" s="33"/>
    </row>
    <row r="24" spans="1:4" ht="26.25" thickBot="1">
      <c r="A24" s="52"/>
      <c r="B24" s="38"/>
      <c r="C24" s="21" t="s">
        <v>122</v>
      </c>
      <c r="D24" s="33"/>
    </row>
    <row r="25" spans="1:4" ht="25.5" thickBot="1">
      <c r="A25" s="53"/>
      <c r="B25" s="39"/>
      <c r="C25" s="21" t="s">
        <v>123</v>
      </c>
      <c r="D25" s="33"/>
    </row>
    <row r="26" spans="1:4" ht="14.25" thickBot="1">
      <c r="A26" s="43" t="s">
        <v>13</v>
      </c>
      <c r="B26" s="46" t="s">
        <v>108</v>
      </c>
      <c r="C26" s="18" t="s">
        <v>109</v>
      </c>
      <c r="D26" s="31"/>
    </row>
    <row r="27" spans="1:4" ht="26.25" thickBot="1">
      <c r="A27" s="44"/>
      <c r="B27" s="47"/>
      <c r="C27" s="18" t="s">
        <v>110</v>
      </c>
      <c r="D27" s="31"/>
    </row>
    <row r="28" spans="1:4" ht="14.25" thickBot="1">
      <c r="A28" s="44"/>
      <c r="B28" s="48"/>
      <c r="C28" s="18" t="s">
        <v>111</v>
      </c>
      <c r="D28" s="31"/>
    </row>
    <row r="29" spans="1:4" ht="14.25" thickBot="1">
      <c r="A29" s="44"/>
      <c r="B29" s="46" t="s">
        <v>112</v>
      </c>
      <c r="C29" s="18" t="s">
        <v>113</v>
      </c>
      <c r="D29" s="31"/>
    </row>
    <row r="30" spans="1:4" ht="14.25" thickBot="1">
      <c r="A30" s="44"/>
      <c r="B30" s="47"/>
      <c r="C30" s="18" t="s">
        <v>114</v>
      </c>
      <c r="D30" s="31"/>
    </row>
    <row r="31" spans="1:4" ht="14.25" thickBot="1">
      <c r="A31" s="44"/>
      <c r="B31" s="47"/>
      <c r="C31" s="18" t="s">
        <v>115</v>
      </c>
      <c r="D31" s="31"/>
    </row>
    <row r="32" spans="1:4" ht="14.25" thickBot="1">
      <c r="A32" s="44"/>
      <c r="B32" s="48"/>
      <c r="C32" s="18" t="s">
        <v>116</v>
      </c>
      <c r="D32" s="31"/>
    </row>
    <row r="33" spans="1:4" ht="14.25" thickBot="1">
      <c r="A33" s="44"/>
      <c r="B33" s="27" t="s">
        <v>117</v>
      </c>
      <c r="C33" s="18" t="s">
        <v>118</v>
      </c>
      <c r="D33" s="31"/>
    </row>
    <row r="34" spans="1:4" ht="14.25" thickBot="1">
      <c r="A34" s="44"/>
      <c r="B34" s="43" t="s">
        <v>119</v>
      </c>
      <c r="C34" s="22" t="s">
        <v>120</v>
      </c>
      <c r="D34" s="34"/>
    </row>
    <row r="35" spans="1:4" ht="14.25" thickBot="1">
      <c r="A35" s="44"/>
      <c r="B35" s="44"/>
      <c r="C35" s="22" t="s">
        <v>121</v>
      </c>
      <c r="D35" s="34"/>
    </row>
    <row r="36" spans="1:4" ht="26.25" thickBot="1">
      <c r="A36" s="44"/>
      <c r="B36" s="44"/>
      <c r="C36" s="23" t="s">
        <v>122</v>
      </c>
      <c r="D36" s="34"/>
    </row>
    <row r="37" spans="1:4" ht="25.5" thickBot="1">
      <c r="A37" s="50"/>
      <c r="B37" s="45"/>
      <c r="C37" s="23" t="s">
        <v>123</v>
      </c>
      <c r="D37" s="34"/>
    </row>
    <row r="38" spans="1:4" ht="14.25" thickBot="1">
      <c r="A38" s="37" t="s">
        <v>16</v>
      </c>
      <c r="B38" s="40" t="s">
        <v>108</v>
      </c>
      <c r="C38" s="18" t="s">
        <v>109</v>
      </c>
      <c r="D38" s="31"/>
    </row>
    <row r="39" spans="1:4" ht="26.25" thickBot="1">
      <c r="A39" s="38"/>
      <c r="B39" s="41"/>
      <c r="C39" s="19" t="s">
        <v>110</v>
      </c>
      <c r="D39" s="32"/>
    </row>
    <row r="40" spans="1:4" ht="14.25" thickBot="1">
      <c r="A40" s="38"/>
      <c r="B40" s="42"/>
      <c r="C40" s="19" t="s">
        <v>111</v>
      </c>
      <c r="D40" s="32"/>
    </row>
    <row r="41" spans="1:4" ht="14.25" thickBot="1">
      <c r="A41" s="38"/>
      <c r="B41" s="40" t="s">
        <v>112</v>
      </c>
      <c r="C41" s="18" t="s">
        <v>113</v>
      </c>
      <c r="D41" s="31"/>
    </row>
    <row r="42" spans="1:4" ht="14.25" thickBot="1">
      <c r="A42" s="38"/>
      <c r="B42" s="41"/>
      <c r="C42" s="19" t="s">
        <v>114</v>
      </c>
      <c r="D42" s="32"/>
    </row>
    <row r="43" spans="1:4" ht="14.25" thickBot="1">
      <c r="A43" s="38"/>
      <c r="B43" s="41"/>
      <c r="C43" s="18" t="s">
        <v>115</v>
      </c>
      <c r="D43" s="31"/>
    </row>
    <row r="44" spans="1:4" ht="14.25" thickBot="1">
      <c r="A44" s="38"/>
      <c r="B44" s="42"/>
      <c r="C44" s="18" t="s">
        <v>116</v>
      </c>
      <c r="D44" s="31"/>
    </row>
    <row r="45" spans="1:4" ht="14.25" thickBot="1">
      <c r="A45" s="38"/>
      <c r="B45" s="27" t="s">
        <v>117</v>
      </c>
      <c r="C45" s="18" t="s">
        <v>118</v>
      </c>
      <c r="D45" s="31"/>
    </row>
    <row r="46" spans="1:4" ht="14.25" thickBot="1">
      <c r="A46" s="38"/>
      <c r="B46" s="43" t="s">
        <v>119</v>
      </c>
      <c r="C46" s="22" t="s">
        <v>120</v>
      </c>
      <c r="D46" s="34"/>
    </row>
    <row r="47" spans="1:4" ht="14.25" thickBot="1">
      <c r="A47" s="38"/>
      <c r="B47" s="44"/>
      <c r="C47" s="22" t="s">
        <v>121</v>
      </c>
      <c r="D47" s="34"/>
    </row>
    <row r="48" spans="1:4" ht="26.25" thickBot="1">
      <c r="A48" s="38"/>
      <c r="B48" s="44"/>
      <c r="C48" s="23" t="s">
        <v>122</v>
      </c>
      <c r="D48" s="34"/>
    </row>
    <row r="49" spans="1:4" ht="25.5" thickBot="1">
      <c r="A49" s="39"/>
      <c r="B49" s="45"/>
      <c r="C49" s="23" t="s">
        <v>123</v>
      </c>
      <c r="D49" s="34"/>
    </row>
  </sheetData>
  <mergeCells count="16">
    <mergeCell ref="A26:A37"/>
    <mergeCell ref="B26:B28"/>
    <mergeCell ref="B29:B32"/>
    <mergeCell ref="B34:B37"/>
    <mergeCell ref="A38:A49"/>
    <mergeCell ref="B38:B40"/>
    <mergeCell ref="B41:B44"/>
    <mergeCell ref="B46:B49"/>
    <mergeCell ref="A2:A13"/>
    <mergeCell ref="B2:B4"/>
    <mergeCell ref="B5:B8"/>
    <mergeCell ref="B10:B13"/>
    <mergeCell ref="A14:A25"/>
    <mergeCell ref="B14:B16"/>
    <mergeCell ref="B17:B20"/>
    <mergeCell ref="B22:B25"/>
  </mergeCells>
  <phoneticPr fontId="5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7"/>
  <sheetViews>
    <sheetView workbookViewId="0">
      <selection activeCell="L17" sqref="L17"/>
    </sheetView>
  </sheetViews>
  <sheetFormatPr defaultRowHeight="13.5"/>
  <sheetData>
    <row r="1" spans="1:2">
      <c r="A1" t="s">
        <v>44</v>
      </c>
    </row>
    <row r="2" spans="1:2">
      <c r="A2" t="s">
        <v>124</v>
      </c>
    </row>
    <row r="4" spans="1:2">
      <c r="A4" t="s">
        <v>45</v>
      </c>
    </row>
    <row r="5" spans="1:2">
      <c r="A5" t="s">
        <v>49</v>
      </c>
    </row>
    <row r="6" spans="1:2">
      <c r="A6" t="s">
        <v>58</v>
      </c>
    </row>
    <row r="7" spans="1:2">
      <c r="A7" t="s">
        <v>57</v>
      </c>
    </row>
    <row r="8" spans="1:2">
      <c r="A8" t="s">
        <v>60</v>
      </c>
    </row>
    <row r="9" spans="1:2">
      <c r="B9" t="s">
        <v>46</v>
      </c>
    </row>
    <row r="10" spans="1:2">
      <c r="B10" t="s">
        <v>47</v>
      </c>
    </row>
    <row r="11" spans="1:2">
      <c r="B11" t="s">
        <v>48</v>
      </c>
    </row>
    <row r="12" spans="1:2">
      <c r="B12" t="s">
        <v>128</v>
      </c>
    </row>
    <row r="13" spans="1:2">
      <c r="B13" t="s">
        <v>125</v>
      </c>
    </row>
    <row r="14" spans="1:2">
      <c r="B14" t="s">
        <v>152</v>
      </c>
    </row>
    <row r="15" spans="1:2">
      <c r="B15" t="s">
        <v>127</v>
      </c>
    </row>
    <row r="16" spans="1:2">
      <c r="B16" t="s">
        <v>59</v>
      </c>
    </row>
    <row r="17" spans="1:3">
      <c r="A17" t="s">
        <v>50</v>
      </c>
    </row>
    <row r="18" spans="1:3">
      <c r="A18" t="s">
        <v>61</v>
      </c>
    </row>
    <row r="19" spans="1:3">
      <c r="B19" t="s">
        <v>64</v>
      </c>
    </row>
    <row r="20" spans="1:3">
      <c r="B20" t="s">
        <v>65</v>
      </c>
    </row>
    <row r="21" spans="1:3">
      <c r="B21" t="s">
        <v>126</v>
      </c>
    </row>
    <row r="22" spans="1:3">
      <c r="C22" t="s">
        <v>55</v>
      </c>
    </row>
    <row r="23" spans="1:3">
      <c r="B23" t="s">
        <v>129</v>
      </c>
    </row>
    <row r="25" spans="1:3">
      <c r="A25" t="s">
        <v>51</v>
      </c>
    </row>
    <row r="26" spans="1:3">
      <c r="A26" t="s">
        <v>52</v>
      </c>
    </row>
    <row r="27" spans="1:3">
      <c r="A27" t="s">
        <v>56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Result</vt:lpstr>
      <vt:lpstr>Config</vt:lpstr>
      <vt:lpstr>debug</vt:lpstr>
      <vt:lpstr>Staff_List</vt:lpstr>
      <vt:lpstr>form1</vt:lpstr>
      <vt:lpstr>form2</vt:lpstr>
      <vt:lpstr>Instructions</vt:lpstr>
    </vt:vector>
  </TitlesOfParts>
  <Company>SDL Japan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Ogura</dc:creator>
  <cp:lastModifiedBy>Alan Chung</cp:lastModifiedBy>
  <cp:lastPrinted>2013-09-24T02:00:09Z</cp:lastPrinted>
  <dcterms:created xsi:type="dcterms:W3CDTF">2013-09-24T01:57:12Z</dcterms:created>
  <dcterms:modified xsi:type="dcterms:W3CDTF">2013-12-03T06:07:23Z</dcterms:modified>
</cp:coreProperties>
</file>