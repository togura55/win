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4325" windowHeight="7620"/>
  </bookViews>
  <sheets>
    <sheet name="Result" sheetId="1" r:id="rId1"/>
    <sheet name="Staff_List" sheetId="3" r:id="rId2"/>
    <sheet name="config" sheetId="2" r:id="rId3"/>
    <sheet name="Instructions" sheetId="12" r:id="rId4"/>
  </sheets>
  <functionGroups builtInGroupCount="17"/>
  <calcPr calcId="145621"/>
</workbook>
</file>

<file path=xl/calcChain.xml><?xml version="1.0" encoding="utf-8"?>
<calcChain xmlns="http://schemas.openxmlformats.org/spreadsheetml/2006/main">
  <c r="A11" i="3" l="1"/>
  <c r="A7" i="3"/>
  <c r="A17" i="3"/>
  <c r="A16" i="3"/>
  <c r="A15" i="3"/>
  <c r="A14" i="3"/>
  <c r="A13" i="3"/>
  <c r="A12" i="3"/>
  <c r="A10" i="3"/>
  <c r="A9" i="3"/>
  <c r="A8" i="3"/>
  <c r="A6" i="3"/>
  <c r="A5" i="3"/>
  <c r="A4" i="3"/>
  <c r="A3" i="3"/>
  <c r="A2" i="3" l="1"/>
</calcChain>
</file>

<file path=xl/sharedStrings.xml><?xml version="1.0" encoding="utf-8"?>
<sst xmlns="http://schemas.openxmlformats.org/spreadsheetml/2006/main" count="149" uniqueCount="109">
  <si>
    <t>Actual Hrs</t>
  </si>
  <si>
    <t>Test Lead</t>
  </si>
  <si>
    <t>Kickoff and Preparation</t>
  </si>
  <si>
    <t>Setup</t>
  </si>
  <si>
    <t>Test Execution - BAT</t>
  </si>
  <si>
    <t>Test Execution - GUI</t>
  </si>
  <si>
    <t>Test Execution - Regress</t>
  </si>
  <si>
    <t>Test Execution - Troubleshooting</t>
  </si>
  <si>
    <t>Report</t>
  </si>
  <si>
    <t>Followup</t>
  </si>
  <si>
    <t>All Phases - Sales / Marketing support meeting</t>
  </si>
  <si>
    <t>Tester</t>
  </si>
  <si>
    <t>Web Specialist</t>
  </si>
  <si>
    <t>Report (html creation for publishing on Partner Central)</t>
  </si>
  <si>
    <t>Linguist</t>
  </si>
  <si>
    <t>Test Execution - Translation Bug Fix</t>
  </si>
  <si>
    <t>Followup (Terminology proposal / management with Sales / Marketing)</t>
  </si>
  <si>
    <t>Project Manager</t>
  </si>
  <si>
    <t>Report (Publishing on Partner Central)</t>
  </si>
  <si>
    <t>Followup (questions/requests from Project stakeholders (BU, Sales / Marketing, TAC and AS)</t>
  </si>
  <si>
    <t>All Phases (Sales / Marketing support meeting)</t>
  </si>
  <si>
    <t>Loc Engineer</t>
  </si>
  <si>
    <t>Task Categories</t>
    <phoneticPr fontId="5"/>
  </si>
  <si>
    <t>Title</t>
    <phoneticPr fontId="5"/>
  </si>
  <si>
    <t>SourceDir</t>
    <phoneticPr fontId="5"/>
  </si>
  <si>
    <t>SourceFile</t>
    <phoneticPr fontId="5"/>
  </si>
  <si>
    <t>StartDate</t>
    <phoneticPr fontId="5"/>
  </si>
  <si>
    <t>EndDate</t>
    <phoneticPr fontId="5"/>
  </si>
  <si>
    <t>Name</t>
    <phoneticPr fontId="5"/>
  </si>
  <si>
    <t>Account</t>
    <phoneticPr fontId="5"/>
  </si>
  <si>
    <t>Title</t>
    <phoneticPr fontId="5"/>
  </si>
  <si>
    <t>code</t>
    <phoneticPr fontId="5"/>
  </si>
  <si>
    <t>togura</t>
    <phoneticPr fontId="5"/>
  </si>
  <si>
    <t>\\TOKYOPROJ6\SDLGen\18_Engineering\Projects\Cisco\TimeManagement\Summary</t>
    <phoneticPr fontId="5"/>
  </si>
  <si>
    <t>Data.csv</t>
    <phoneticPr fontId="5"/>
  </si>
  <si>
    <t>ProjectName</t>
    <phoneticPr fontId="5"/>
  </si>
  <si>
    <t>Tasks</t>
    <phoneticPr fontId="5"/>
  </si>
  <si>
    <t>Prep</t>
    <phoneticPr fontId="5"/>
  </si>
  <si>
    <t>Setup</t>
    <phoneticPr fontId="5"/>
  </si>
  <si>
    <t>BAT</t>
    <phoneticPr fontId="5"/>
  </si>
  <si>
    <t>GUI</t>
    <phoneticPr fontId="5"/>
  </si>
  <si>
    <t>Regress</t>
    <phoneticPr fontId="5"/>
  </si>
  <si>
    <t>TS</t>
    <phoneticPr fontId="5"/>
  </si>
  <si>
    <t>Report</t>
    <phoneticPr fontId="5"/>
  </si>
  <si>
    <t>Follow1</t>
    <phoneticPr fontId="5"/>
  </si>
  <si>
    <t>Follow2</t>
    <phoneticPr fontId="5"/>
  </si>
  <si>
    <t>Follow3</t>
    <phoneticPr fontId="5"/>
  </si>
  <si>
    <t>TBF</t>
    <phoneticPr fontId="5"/>
  </si>
  <si>
    <t>C_Meeting</t>
    <phoneticPr fontId="5"/>
  </si>
  <si>
    <t>Staff_List</t>
    <phoneticPr fontId="5"/>
  </si>
  <si>
    <t>Tsuyoshi Ogura</t>
  </si>
  <si>
    <t>Koichi Nakajima</t>
  </si>
  <si>
    <t>Eiji Tominaga</t>
  </si>
  <si>
    <t>Toshiari Bojo</t>
  </si>
  <si>
    <t>Kazuhiro Ohata</t>
  </si>
  <si>
    <t>Keiichi Yoshimura</t>
  </si>
  <si>
    <t>Junko Tomioka</t>
  </si>
  <si>
    <t>Junko Kobayashi</t>
  </si>
  <si>
    <t>Kumiko Horikawa</t>
  </si>
  <si>
    <t>Masae Otake</t>
  </si>
  <si>
    <t>Kumi Kaneda</t>
  </si>
  <si>
    <t>Chiharu Iwaya</t>
  </si>
  <si>
    <t>Kaoru Niwa</t>
  </si>
  <si>
    <t>Yukiko Arai</t>
  </si>
  <si>
    <t>Yuzuru Usui</t>
  </si>
  <si>
    <t>knakajima</t>
    <phoneticPr fontId="5"/>
  </si>
  <si>
    <t>etominaga</t>
    <phoneticPr fontId="5"/>
  </si>
  <si>
    <t>tbojo</t>
    <phoneticPr fontId="5"/>
  </si>
  <si>
    <t>kohata</t>
    <phoneticPr fontId="5"/>
  </si>
  <si>
    <t>kyoshimura</t>
    <phoneticPr fontId="5"/>
  </si>
  <si>
    <t>jtomioka</t>
    <phoneticPr fontId="5"/>
  </si>
  <si>
    <t>jkobayashi</t>
    <phoneticPr fontId="5"/>
  </si>
  <si>
    <t>motake</t>
    <phoneticPr fontId="5"/>
  </si>
  <si>
    <t>kkaneda</t>
    <phoneticPr fontId="5"/>
  </si>
  <si>
    <t>ciwaya</t>
    <phoneticPr fontId="5"/>
  </si>
  <si>
    <t>kniwa</t>
    <phoneticPr fontId="5"/>
  </si>
  <si>
    <t>yuarai</t>
    <phoneticPr fontId="5"/>
  </si>
  <si>
    <t>yusui</t>
    <phoneticPr fontId="5"/>
  </si>
  <si>
    <t>Hiromi Kobayashi</t>
    <phoneticPr fontId="5"/>
  </si>
  <si>
    <t>hkobayashi</t>
    <phoneticPr fontId="5"/>
  </si>
  <si>
    <t>khorikawa</t>
    <phoneticPr fontId="5"/>
  </si>
  <si>
    <t>Descriptions</t>
    <phoneticPr fontId="5"/>
  </si>
  <si>
    <t>StafflistSheet</t>
    <phoneticPr fontId="5"/>
  </si>
  <si>
    <t>ResultSheet</t>
    <phoneticPr fontId="5"/>
  </si>
  <si>
    <t>Result</t>
    <phoneticPr fontId="5"/>
  </si>
  <si>
    <t>EnableDebug</t>
    <phoneticPr fontId="5"/>
  </si>
  <si>
    <t>DX65010.1</t>
    <phoneticPr fontId="5"/>
  </si>
  <si>
    <t>＜概要＞</t>
    <rPh sb="1" eb="3">
      <t>ガイヨウ</t>
    </rPh>
    <phoneticPr fontId="5"/>
  </si>
  <si>
    <t>TimeManagementの出力ファイルであるData.csvデータファイルから、指定された条件でデータを集計し、Resultシートのフォーマットに結果を出力するExcel Macro</t>
    <rPh sb="15" eb="17">
      <t>シュツリョク</t>
    </rPh>
    <rPh sb="42" eb="44">
      <t>シテイ</t>
    </rPh>
    <rPh sb="47" eb="49">
      <t>ジョウケン</t>
    </rPh>
    <rPh sb="54" eb="56">
      <t>シュウケイ</t>
    </rPh>
    <rPh sb="75" eb="77">
      <t>ケッカ</t>
    </rPh>
    <rPh sb="78" eb="80">
      <t>シュツリョク</t>
    </rPh>
    <phoneticPr fontId="5"/>
  </si>
  <si>
    <t>＜使い方＞</t>
    <rPh sb="1" eb="2">
      <t>ツカ</t>
    </rPh>
    <rPh sb="3" eb="4">
      <t>カタ</t>
    </rPh>
    <phoneticPr fontId="5"/>
  </si>
  <si>
    <t>1. Resultシートにフォームを作成</t>
    <rPh sb="18" eb="20">
      <t>サクセイ</t>
    </rPh>
    <phoneticPr fontId="5"/>
  </si>
  <si>
    <t>2. Staff_Listにリストを作成。B,C,D列に記載する。A列は自動で計算される（リストを追加する場合は数式の下方向コピーが必要）</t>
    <rPh sb="18" eb="20">
      <t>サクセイ</t>
    </rPh>
    <rPh sb="26" eb="27">
      <t>レツ</t>
    </rPh>
    <rPh sb="28" eb="30">
      <t>キサイ</t>
    </rPh>
    <rPh sb="34" eb="35">
      <t>レツ</t>
    </rPh>
    <rPh sb="36" eb="38">
      <t>ジドウ</t>
    </rPh>
    <rPh sb="39" eb="41">
      <t>ケイサン</t>
    </rPh>
    <rPh sb="49" eb="51">
      <t>ツイカ</t>
    </rPh>
    <rPh sb="53" eb="55">
      <t>バアイ</t>
    </rPh>
    <rPh sb="56" eb="58">
      <t>スウシキ</t>
    </rPh>
    <rPh sb="59" eb="62">
      <t>シタホウコウ</t>
    </rPh>
    <rPh sb="66" eb="68">
      <t>ヒツヨウ</t>
    </rPh>
    <phoneticPr fontId="5"/>
  </si>
  <si>
    <t>3. configシートの以下の項目を設定</t>
    <rPh sb="13" eb="15">
      <t>イカ</t>
    </rPh>
    <rPh sb="16" eb="18">
      <t>コウモク</t>
    </rPh>
    <rPh sb="19" eb="21">
      <t>セッテイ</t>
    </rPh>
    <phoneticPr fontId="5"/>
  </si>
  <si>
    <t>SourceDir: 読み込むData.csvファイルのあるディレクトリ名</t>
    <rPh sb="11" eb="12">
      <t>ヨ</t>
    </rPh>
    <rPh sb="13" eb="14">
      <t>コ</t>
    </rPh>
    <rPh sb="36" eb="37">
      <t>メイ</t>
    </rPh>
    <phoneticPr fontId="5"/>
  </si>
  <si>
    <t>SourceFile: 読み込むData.csvファイルのファイル名</t>
    <rPh sb="33" eb="34">
      <t>メイ</t>
    </rPh>
    <phoneticPr fontId="5"/>
  </si>
  <si>
    <t>StafflistSheet: Staff_List記載のシート名</t>
    <rPh sb="26" eb="28">
      <t>キサイ</t>
    </rPh>
    <rPh sb="32" eb="33">
      <t>メイ</t>
    </rPh>
    <phoneticPr fontId="5"/>
  </si>
  <si>
    <t>ResultSheet: 結果出力フォームのシート名</t>
    <rPh sb="13" eb="15">
      <t>ケッカ</t>
    </rPh>
    <rPh sb="15" eb="17">
      <t>シュツリョク</t>
    </rPh>
    <rPh sb="25" eb="26">
      <t>メイ</t>
    </rPh>
    <phoneticPr fontId="5"/>
  </si>
  <si>
    <t>EnableDebug: デバッグ用</t>
    <rPh sb="17" eb="18">
      <t>ヨウ</t>
    </rPh>
    <phoneticPr fontId="5"/>
  </si>
  <si>
    <t>Tasks: 既定のタスク名リスト</t>
    <rPh sb="7" eb="9">
      <t>キテイ</t>
    </rPh>
    <rPh sb="13" eb="14">
      <t>メイ</t>
    </rPh>
    <phoneticPr fontId="5"/>
  </si>
  <si>
    <t>Descriptions: タスク名に相当するフォームシートに書かれた説明文字列（ResultシートのB列）</t>
    <rPh sb="17" eb="18">
      <t>メイ</t>
    </rPh>
    <rPh sb="19" eb="21">
      <t>ソウトウ</t>
    </rPh>
    <rPh sb="31" eb="32">
      <t>カ</t>
    </rPh>
    <rPh sb="35" eb="37">
      <t>セツメイ</t>
    </rPh>
    <rPh sb="37" eb="40">
      <t>モジレツ</t>
    </rPh>
    <rPh sb="52" eb="53">
      <t>レツ</t>
    </rPh>
    <phoneticPr fontId="5"/>
  </si>
  <si>
    <t>[基本設定]</t>
    <rPh sb="1" eb="3">
      <t>キホン</t>
    </rPh>
    <rPh sb="3" eb="5">
      <t>セッテイ</t>
    </rPh>
    <phoneticPr fontId="5"/>
  </si>
  <si>
    <t>[毎回の設定]</t>
    <rPh sb="1" eb="3">
      <t>マイカイ</t>
    </rPh>
    <rPh sb="4" eb="6">
      <t>セッテイ</t>
    </rPh>
    <phoneticPr fontId="5"/>
  </si>
  <si>
    <t>以下のconfigシート内の設定項目を設定する</t>
    <rPh sb="0" eb="2">
      <t>イカ</t>
    </rPh>
    <rPh sb="12" eb="13">
      <t>ナイ</t>
    </rPh>
    <rPh sb="14" eb="16">
      <t>セッテイ</t>
    </rPh>
    <rPh sb="16" eb="18">
      <t>コウモク</t>
    </rPh>
    <rPh sb="19" eb="21">
      <t>セッテイ</t>
    </rPh>
    <phoneticPr fontId="5"/>
  </si>
  <si>
    <t>StartDate: 集計する開始日</t>
    <rPh sb="11" eb="13">
      <t>シュウケイ</t>
    </rPh>
    <rPh sb="15" eb="18">
      <t>カイシビ</t>
    </rPh>
    <phoneticPr fontId="5"/>
  </si>
  <si>
    <t>EndDate: 集計する終了日</t>
    <rPh sb="9" eb="11">
      <t>シュウケイ</t>
    </rPh>
    <rPh sb="13" eb="16">
      <t>シュウリョウビ</t>
    </rPh>
    <phoneticPr fontId="5"/>
  </si>
  <si>
    <t>ProjectName: 集計対象のプロジェクト名文字列。空欄なら期間内の全てのプロジェクトに対した集計</t>
    <rPh sb="13" eb="15">
      <t>シュウケイ</t>
    </rPh>
    <rPh sb="15" eb="17">
      <t>タイショウ</t>
    </rPh>
    <rPh sb="24" eb="25">
      <t>メイ</t>
    </rPh>
    <rPh sb="25" eb="28">
      <t>モジレツ</t>
    </rPh>
    <rPh sb="29" eb="31">
      <t>クウラン</t>
    </rPh>
    <rPh sb="33" eb="36">
      <t>キカンナイ</t>
    </rPh>
    <rPh sb="37" eb="38">
      <t>スベ</t>
    </rPh>
    <rPh sb="47" eb="48">
      <t>タイ</t>
    </rPh>
    <rPh sb="50" eb="52">
      <t>シュウケイ</t>
    </rPh>
    <phoneticPr fontId="5"/>
  </si>
  <si>
    <t>[実行]</t>
    <rPh sb="1" eb="3">
      <t>ジッコウ</t>
    </rPh>
    <phoneticPr fontId="5"/>
  </si>
  <si>
    <t>Excelのマクロを有効にし、[表示]-[マクロ]-[マクロの表示]をクリック。"TMSummary_LME"を選択して、「実行」ボタンを押す</t>
    <rPh sb="10" eb="12">
      <t>ユウコウ</t>
    </rPh>
    <rPh sb="16" eb="18">
      <t>ヒョウジ</t>
    </rPh>
    <rPh sb="31" eb="33">
      <t>ヒョウジ</t>
    </rPh>
    <rPh sb="56" eb="58">
      <t>センタク</t>
    </rPh>
    <rPh sb="62" eb="64">
      <t>ジッコウ</t>
    </rPh>
    <rPh sb="69" eb="70">
      <t>オ</t>
    </rPh>
    <phoneticPr fontId="5"/>
  </si>
  <si>
    <t>"Result"シートのC列に集計結果が追記される。</t>
    <rPh sb="13" eb="14">
      <t>レツ</t>
    </rPh>
    <rPh sb="15" eb="17">
      <t>シュウケイ</t>
    </rPh>
    <rPh sb="17" eb="19">
      <t>ケッカ</t>
    </rPh>
    <rPh sb="20" eb="22">
      <t>ツイキ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</si>
</sst>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Times New Roman"/>
      <family val="1"/>
    </font>
    <font>
      <b/>
      <sz val="10"/>
      <color rgb="FFFFFFFF"/>
      <name val="ＭＳ Ｐゴシック"/>
      <family val="3"/>
      <charset val="128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F622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/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 style="medium">
        <color theme="0"/>
      </right>
      <top style="medium">
        <color rgb="FF808080"/>
      </top>
      <bottom style="medium">
        <color rgb="FF808080"/>
      </bottom>
      <diagonal/>
    </border>
    <border>
      <left style="medium">
        <color theme="0"/>
      </left>
      <right style="medium">
        <color theme="0"/>
      </right>
      <top style="medium">
        <color rgb="FF808080"/>
      </top>
      <bottom style="medium">
        <color rgb="FF808080"/>
      </bottom>
      <diagonal/>
    </border>
    <border>
      <left style="medium">
        <color theme="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1" fillId="0" borderId="5" xfId="0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/>
    </xf>
    <xf numFmtId="0" fontId="1" fillId="3" borderId="9" xfId="0" applyFont="1" applyFill="1" applyBorder="1">
      <alignment vertical="center"/>
    </xf>
    <xf numFmtId="0" fontId="0" fillId="0" borderId="10" xfId="0" applyBorder="1">
      <alignment vertical="center"/>
    </xf>
    <xf numFmtId="0" fontId="6" fillId="0" borderId="0" xfId="1">
      <alignment vertical="center"/>
    </xf>
    <xf numFmtId="14" fontId="0" fillId="0" borderId="0" xfId="0" applyNumberFormat="1">
      <alignment vertical="center"/>
    </xf>
    <xf numFmtId="0" fontId="0" fillId="4" borderId="10" xfId="0" applyFill="1" applyBorder="1">
      <alignment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0" fillId="0" borderId="0" xfId="0" applyNumberForma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TOKYOPROJ6\SDLGen\18_Engineering\Projects\Cisco\TimeManagement\Summar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8"/>
  <sheetViews>
    <sheetView tabSelected="1" zoomScale="78" zoomScaleNormal="78" workbookViewId="0">
      <selection activeCell="F22" sqref="F22"/>
    </sheetView>
  </sheetViews>
  <sheetFormatPr defaultRowHeight="13.5" x14ac:dyDescent="0.15"/>
  <cols>
    <col min="1" max="1" width="13.125" bestFit="1" customWidth="1"/>
    <col min="2" max="2" width="70.375" bestFit="1" customWidth="1"/>
  </cols>
  <sheetData>
    <row r="1" spans="1:3" ht="14.25" thickBot="1" x14ac:dyDescent="0.2">
      <c r="A1" s="1" t="s">
        <v>23</v>
      </c>
      <c r="B1" s="2" t="s">
        <v>22</v>
      </c>
      <c r="C1" s="3" t="s">
        <v>0</v>
      </c>
    </row>
    <row r="2" spans="1:3" ht="14.25" thickBot="1" x14ac:dyDescent="0.2">
      <c r="A2" s="17" t="s">
        <v>1</v>
      </c>
      <c r="B2" s="4" t="s">
        <v>2</v>
      </c>
      <c r="C2" s="5"/>
    </row>
    <row r="3" spans="1:3" ht="14.25" thickBot="1" x14ac:dyDescent="0.2">
      <c r="A3" s="18"/>
      <c r="B3" s="4" t="s">
        <v>3</v>
      </c>
      <c r="C3" s="5"/>
    </row>
    <row r="4" spans="1:3" ht="14.25" thickBot="1" x14ac:dyDescent="0.2">
      <c r="A4" s="18"/>
      <c r="B4" s="4" t="s">
        <v>4</v>
      </c>
      <c r="C4" s="5"/>
    </row>
    <row r="5" spans="1:3" ht="14.25" thickBot="1" x14ac:dyDescent="0.2">
      <c r="A5" s="18"/>
      <c r="B5" s="4" t="s">
        <v>5</v>
      </c>
      <c r="C5" s="5"/>
    </row>
    <row r="6" spans="1:3" ht="14.25" thickBot="1" x14ac:dyDescent="0.2">
      <c r="A6" s="18"/>
      <c r="B6" s="4" t="s">
        <v>6</v>
      </c>
      <c r="C6" s="5"/>
    </row>
    <row r="7" spans="1:3" ht="14.25" thickBot="1" x14ac:dyDescent="0.2">
      <c r="A7" s="18"/>
      <c r="B7" s="4" t="s">
        <v>7</v>
      </c>
      <c r="C7" s="5"/>
    </row>
    <row r="8" spans="1:3" ht="14.25" thickBot="1" x14ac:dyDescent="0.2">
      <c r="A8" s="18"/>
      <c r="B8" s="4" t="s">
        <v>8</v>
      </c>
      <c r="C8" s="5"/>
    </row>
    <row r="9" spans="1:3" ht="14.25" thickBot="1" x14ac:dyDescent="0.2">
      <c r="A9" s="18"/>
      <c r="B9" s="4" t="s">
        <v>9</v>
      </c>
      <c r="C9" s="5"/>
    </row>
    <row r="10" spans="1:3" ht="14.25" thickBot="1" x14ac:dyDescent="0.2">
      <c r="A10" s="19"/>
      <c r="B10" s="4" t="s">
        <v>10</v>
      </c>
      <c r="C10" s="5"/>
    </row>
    <row r="11" spans="1:3" ht="14.25" thickBot="1" x14ac:dyDescent="0.2">
      <c r="A11" s="17" t="s">
        <v>11</v>
      </c>
      <c r="B11" s="4" t="s">
        <v>2</v>
      </c>
      <c r="C11" s="5"/>
    </row>
    <row r="12" spans="1:3" ht="14.25" thickBot="1" x14ac:dyDescent="0.2">
      <c r="A12" s="18"/>
      <c r="B12" s="4" t="s">
        <v>3</v>
      </c>
      <c r="C12" s="5"/>
    </row>
    <row r="13" spans="1:3" ht="14.25" thickBot="1" x14ac:dyDescent="0.2">
      <c r="A13" s="18"/>
      <c r="B13" s="4" t="s">
        <v>4</v>
      </c>
      <c r="C13" s="5"/>
    </row>
    <row r="14" spans="1:3" ht="14.25" thickBot="1" x14ac:dyDescent="0.2">
      <c r="A14" s="18"/>
      <c r="B14" s="4" t="s">
        <v>5</v>
      </c>
      <c r="C14" s="5"/>
    </row>
    <row r="15" spans="1:3" ht="14.25" thickBot="1" x14ac:dyDescent="0.2">
      <c r="A15" s="18"/>
      <c r="B15" s="4" t="s">
        <v>6</v>
      </c>
      <c r="C15" s="5"/>
    </row>
    <row r="16" spans="1:3" ht="14.25" thickBot="1" x14ac:dyDescent="0.2">
      <c r="A16" s="18"/>
      <c r="B16" s="4" t="s">
        <v>7</v>
      </c>
      <c r="C16" s="5"/>
    </row>
    <row r="17" spans="1:3" ht="14.25" thickBot="1" x14ac:dyDescent="0.2">
      <c r="A17" s="18"/>
      <c r="B17" s="4" t="s">
        <v>8</v>
      </c>
      <c r="C17" s="5"/>
    </row>
    <row r="18" spans="1:3" ht="14.25" thickBot="1" x14ac:dyDescent="0.2">
      <c r="A18" s="18"/>
      <c r="B18" s="4" t="s">
        <v>9</v>
      </c>
      <c r="C18" s="5"/>
    </row>
    <row r="19" spans="1:3" ht="14.25" thickBot="1" x14ac:dyDescent="0.2">
      <c r="A19" s="19"/>
      <c r="B19" s="4" t="s">
        <v>10</v>
      </c>
      <c r="C19" s="5"/>
    </row>
    <row r="20" spans="1:3" ht="14.25" thickBot="1" x14ac:dyDescent="0.2">
      <c r="A20" s="6" t="s">
        <v>12</v>
      </c>
      <c r="B20" s="4" t="s">
        <v>13</v>
      </c>
      <c r="C20" s="5"/>
    </row>
    <row r="21" spans="1:3" ht="14.25" thickBot="1" x14ac:dyDescent="0.2">
      <c r="A21" s="17" t="s">
        <v>14</v>
      </c>
      <c r="B21" s="4" t="s">
        <v>15</v>
      </c>
      <c r="C21" s="5"/>
    </row>
    <row r="22" spans="1:3" ht="14.25" thickBot="1" x14ac:dyDescent="0.2">
      <c r="A22" s="19"/>
      <c r="B22" s="4" t="s">
        <v>16</v>
      </c>
      <c r="C22" s="5"/>
    </row>
    <row r="23" spans="1:3" ht="14.25" thickBot="1" x14ac:dyDescent="0.2">
      <c r="A23" s="17" t="s">
        <v>17</v>
      </c>
      <c r="B23" s="4" t="s">
        <v>2</v>
      </c>
      <c r="C23" s="5"/>
    </row>
    <row r="24" spans="1:3" ht="14.25" thickBot="1" x14ac:dyDescent="0.2">
      <c r="A24" s="18"/>
      <c r="B24" s="4" t="s">
        <v>18</v>
      </c>
      <c r="C24" s="5"/>
    </row>
    <row r="25" spans="1:3" ht="14.25" thickBot="1" x14ac:dyDescent="0.2">
      <c r="A25" s="18"/>
      <c r="B25" s="4" t="s">
        <v>16</v>
      </c>
      <c r="C25" s="5"/>
    </row>
    <row r="26" spans="1:3" ht="14.25" thickBot="1" x14ac:dyDescent="0.2">
      <c r="A26" s="18"/>
      <c r="B26" s="4" t="s">
        <v>19</v>
      </c>
      <c r="C26" s="5"/>
    </row>
    <row r="27" spans="1:3" ht="14.25" thickBot="1" x14ac:dyDescent="0.2">
      <c r="A27" s="19"/>
      <c r="B27" s="4" t="s">
        <v>20</v>
      </c>
      <c r="C27" s="5"/>
    </row>
    <row r="28" spans="1:3" ht="14.25" thickBot="1" x14ac:dyDescent="0.2">
      <c r="A28" s="7" t="s">
        <v>21</v>
      </c>
      <c r="B28" s="8" t="s">
        <v>15</v>
      </c>
      <c r="C28" s="9"/>
    </row>
  </sheetData>
  <dataConsolidate/>
  <mergeCells count="4">
    <mergeCell ref="A2:A10"/>
    <mergeCell ref="A11:A19"/>
    <mergeCell ref="A21:A22"/>
    <mergeCell ref="A23:A27"/>
  </mergeCells>
  <phoneticPr fontId="5"/>
  <pageMargins left="0.25" right="0.25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activeCell="F20" sqref="F20"/>
    </sheetView>
  </sheetViews>
  <sheetFormatPr defaultRowHeight="13.5" x14ac:dyDescent="0.15"/>
  <cols>
    <col min="1" max="1" width="5.125" style="14" customWidth="1"/>
    <col min="2" max="2" width="16.25" bestFit="1" customWidth="1"/>
    <col min="3" max="3" width="10.375" bestFit="1" customWidth="1"/>
  </cols>
  <sheetData>
    <row r="1" spans="1:7" x14ac:dyDescent="0.15">
      <c r="A1" s="13" t="s">
        <v>31</v>
      </c>
      <c r="B1" s="10" t="s">
        <v>28</v>
      </c>
      <c r="C1" s="10" t="s">
        <v>29</v>
      </c>
      <c r="D1" s="10" t="s">
        <v>30</v>
      </c>
      <c r="G1">
        <v>4</v>
      </c>
    </row>
    <row r="2" spans="1:7" x14ac:dyDescent="0.15">
      <c r="A2" s="14" t="str">
        <f t="shared" ref="A2:A17" si="0">IF(C2&lt;&gt;"",LEFT(C2, $G$1),"")</f>
        <v>togu</v>
      </c>
      <c r="B2" t="s">
        <v>50</v>
      </c>
      <c r="C2" t="s">
        <v>32</v>
      </c>
      <c r="D2" t="s">
        <v>1</v>
      </c>
    </row>
    <row r="3" spans="1:7" x14ac:dyDescent="0.15">
      <c r="A3" s="14" t="str">
        <f t="shared" si="0"/>
        <v>knak</v>
      </c>
      <c r="B3" t="s">
        <v>51</v>
      </c>
      <c r="C3" t="s">
        <v>65</v>
      </c>
      <c r="D3" t="s">
        <v>1</v>
      </c>
    </row>
    <row r="4" spans="1:7" x14ac:dyDescent="0.15">
      <c r="A4" s="14" t="str">
        <f t="shared" si="0"/>
        <v>etom</v>
      </c>
      <c r="B4" t="s">
        <v>52</v>
      </c>
      <c r="C4" t="s">
        <v>66</v>
      </c>
      <c r="D4" t="s">
        <v>1</v>
      </c>
    </row>
    <row r="5" spans="1:7" x14ac:dyDescent="0.15">
      <c r="A5" s="14" t="str">
        <f t="shared" si="0"/>
        <v>tboj</v>
      </c>
      <c r="B5" t="s">
        <v>53</v>
      </c>
      <c r="C5" t="s">
        <v>67</v>
      </c>
      <c r="D5" t="s">
        <v>1</v>
      </c>
    </row>
    <row r="6" spans="1:7" x14ac:dyDescent="0.15">
      <c r="A6" s="14" t="str">
        <f t="shared" si="0"/>
        <v>koha</v>
      </c>
      <c r="B6" t="s">
        <v>54</v>
      </c>
      <c r="C6" t="s">
        <v>68</v>
      </c>
      <c r="D6" t="s">
        <v>11</v>
      </c>
    </row>
    <row r="7" spans="1:7" x14ac:dyDescent="0.15">
      <c r="A7" s="14" t="str">
        <f t="shared" si="0"/>
        <v>hkob</v>
      </c>
      <c r="B7" t="s">
        <v>78</v>
      </c>
      <c r="C7" t="s">
        <v>79</v>
      </c>
      <c r="D7" t="s">
        <v>11</v>
      </c>
    </row>
    <row r="8" spans="1:7" x14ac:dyDescent="0.15">
      <c r="A8" s="14" t="str">
        <f t="shared" si="0"/>
        <v>kyos</v>
      </c>
      <c r="B8" t="s">
        <v>55</v>
      </c>
      <c r="C8" t="s">
        <v>69</v>
      </c>
      <c r="D8" t="s">
        <v>11</v>
      </c>
    </row>
    <row r="9" spans="1:7" x14ac:dyDescent="0.15">
      <c r="A9" s="14" t="str">
        <f t="shared" si="0"/>
        <v>jtom</v>
      </c>
      <c r="B9" t="s">
        <v>56</v>
      </c>
      <c r="C9" t="s">
        <v>70</v>
      </c>
      <c r="D9" t="s">
        <v>11</v>
      </c>
    </row>
    <row r="10" spans="1:7" x14ac:dyDescent="0.15">
      <c r="A10" s="14" t="str">
        <f t="shared" si="0"/>
        <v>jkob</v>
      </c>
      <c r="B10" t="s">
        <v>57</v>
      </c>
      <c r="C10" t="s">
        <v>71</v>
      </c>
      <c r="D10" t="s">
        <v>17</v>
      </c>
    </row>
    <row r="11" spans="1:7" x14ac:dyDescent="0.15">
      <c r="A11" s="14" t="str">
        <f t="shared" si="0"/>
        <v>khor</v>
      </c>
      <c r="B11" t="s">
        <v>58</v>
      </c>
      <c r="C11" t="s">
        <v>80</v>
      </c>
      <c r="D11" t="s">
        <v>17</v>
      </c>
    </row>
    <row r="12" spans="1:7" x14ac:dyDescent="0.15">
      <c r="A12" s="14" t="str">
        <f t="shared" si="0"/>
        <v>mota</v>
      </c>
      <c r="B12" t="s">
        <v>59</v>
      </c>
      <c r="C12" t="s">
        <v>72</v>
      </c>
      <c r="D12" t="s">
        <v>17</v>
      </c>
    </row>
    <row r="13" spans="1:7" x14ac:dyDescent="0.15">
      <c r="A13" s="14" t="str">
        <f t="shared" si="0"/>
        <v>kkan</v>
      </c>
      <c r="B13" t="s">
        <v>60</v>
      </c>
      <c r="C13" t="s">
        <v>73</v>
      </c>
      <c r="D13" t="s">
        <v>17</v>
      </c>
    </row>
    <row r="14" spans="1:7" x14ac:dyDescent="0.15">
      <c r="A14" s="14" t="str">
        <f t="shared" si="0"/>
        <v>ciwa</v>
      </c>
      <c r="B14" t="s">
        <v>61</v>
      </c>
      <c r="C14" t="s">
        <v>74</v>
      </c>
      <c r="D14" t="s">
        <v>17</v>
      </c>
    </row>
    <row r="15" spans="1:7" x14ac:dyDescent="0.15">
      <c r="A15" s="14" t="str">
        <f t="shared" si="0"/>
        <v>kniw</v>
      </c>
      <c r="B15" t="s">
        <v>62</v>
      </c>
      <c r="C15" t="s">
        <v>75</v>
      </c>
      <c r="D15" t="s">
        <v>14</v>
      </c>
    </row>
    <row r="16" spans="1:7" x14ac:dyDescent="0.15">
      <c r="A16" s="14" t="str">
        <f t="shared" si="0"/>
        <v>yuar</v>
      </c>
      <c r="B16" t="s">
        <v>63</v>
      </c>
      <c r="C16" t="s">
        <v>76</v>
      </c>
      <c r="D16" t="s">
        <v>14</v>
      </c>
    </row>
    <row r="17" spans="1:4" x14ac:dyDescent="0.15">
      <c r="A17" s="14" t="str">
        <f t="shared" si="0"/>
        <v>yusu</v>
      </c>
      <c r="B17" t="s">
        <v>64</v>
      </c>
      <c r="C17" t="s">
        <v>77</v>
      </c>
      <c r="D17" t="s">
        <v>14</v>
      </c>
    </row>
  </sheetData>
  <dataConsolidate/>
  <phoneticPr fontId="5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F6" sqref="F6"/>
    </sheetView>
  </sheetViews>
  <sheetFormatPr defaultRowHeight="13.5" x14ac:dyDescent="0.15"/>
  <cols>
    <col min="1" max="1" width="13.375" style="15" customWidth="1"/>
    <col min="2" max="2" width="10.5" bestFit="1" customWidth="1"/>
  </cols>
  <sheetData>
    <row r="1" spans="1:13" x14ac:dyDescent="0.15">
      <c r="A1" s="15" t="s">
        <v>26</v>
      </c>
      <c r="B1" s="12">
        <v>41533</v>
      </c>
    </row>
    <row r="2" spans="1:13" x14ac:dyDescent="0.15">
      <c r="A2" s="15" t="s">
        <v>27</v>
      </c>
      <c r="B2" s="12">
        <v>41537</v>
      </c>
    </row>
    <row r="3" spans="1:13" x14ac:dyDescent="0.15">
      <c r="A3" s="15" t="s">
        <v>35</v>
      </c>
      <c r="B3" s="12" t="s">
        <v>86</v>
      </c>
    </row>
    <row r="4" spans="1:13" x14ac:dyDescent="0.15">
      <c r="A4" s="15" t="s">
        <v>24</v>
      </c>
      <c r="B4" s="11" t="s">
        <v>33</v>
      </c>
    </row>
    <row r="5" spans="1:13" x14ac:dyDescent="0.15">
      <c r="A5" s="15" t="s">
        <v>25</v>
      </c>
      <c r="B5" t="s">
        <v>34</v>
      </c>
    </row>
    <row r="6" spans="1:13" x14ac:dyDescent="0.15">
      <c r="A6" s="15" t="s">
        <v>82</v>
      </c>
      <c r="B6" s="12" t="s">
        <v>49</v>
      </c>
    </row>
    <row r="7" spans="1:13" x14ac:dyDescent="0.15">
      <c r="A7" s="15" t="s">
        <v>83</v>
      </c>
      <c r="B7" s="12" t="s">
        <v>84</v>
      </c>
    </row>
    <row r="8" spans="1:13" x14ac:dyDescent="0.15">
      <c r="A8" s="15" t="s">
        <v>85</v>
      </c>
      <c r="B8" s="16">
        <v>0</v>
      </c>
    </row>
    <row r="9" spans="1:13" x14ac:dyDescent="0.15">
      <c r="A9" s="15" t="s">
        <v>36</v>
      </c>
      <c r="B9" t="s">
        <v>37</v>
      </c>
      <c r="C9" t="s">
        <v>38</v>
      </c>
      <c r="D9" t="s">
        <v>39</v>
      </c>
      <c r="E9" t="s">
        <v>40</v>
      </c>
      <c r="F9" t="s">
        <v>41</v>
      </c>
      <c r="G9" t="s">
        <v>42</v>
      </c>
      <c r="H9" t="s">
        <v>43</v>
      </c>
      <c r="I9" t="s">
        <v>44</v>
      </c>
      <c r="J9" t="s">
        <v>45</v>
      </c>
      <c r="K9" t="s">
        <v>46</v>
      </c>
      <c r="L9" t="s">
        <v>47</v>
      </c>
      <c r="M9" t="s">
        <v>48</v>
      </c>
    </row>
    <row r="10" spans="1:13" x14ac:dyDescent="0.15">
      <c r="A10" s="15" t="s">
        <v>81</v>
      </c>
      <c r="B10" t="s">
        <v>2</v>
      </c>
      <c r="C10" t="s">
        <v>3</v>
      </c>
      <c r="D10" t="s">
        <v>4</v>
      </c>
      <c r="E10" t="s">
        <v>5</v>
      </c>
      <c r="F10" t="s">
        <v>6</v>
      </c>
      <c r="G10" t="s">
        <v>7</v>
      </c>
      <c r="H10" t="s">
        <v>8</v>
      </c>
      <c r="I10" t="s">
        <v>9</v>
      </c>
      <c r="J10" t="s">
        <v>16</v>
      </c>
      <c r="K10" t="s">
        <v>19</v>
      </c>
      <c r="L10" t="s">
        <v>15</v>
      </c>
      <c r="M10" t="s">
        <v>10</v>
      </c>
    </row>
  </sheetData>
  <dataConsolidate/>
  <phoneticPr fontId="5"/>
  <hyperlinks>
    <hyperlink ref="B4" r:id="rId1"/>
  </hyperlink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5"/>
  <sheetViews>
    <sheetView topLeftCell="A4" workbookViewId="0">
      <selection activeCell="E18" sqref="E18"/>
    </sheetView>
  </sheetViews>
  <sheetFormatPr defaultRowHeight="13.5" x14ac:dyDescent="0.15"/>
  <sheetData>
    <row r="1" spans="1:2" x14ac:dyDescent="0.15">
      <c r="A1" t="s">
        <v>87</v>
      </c>
    </row>
    <row r="2" spans="1:2" x14ac:dyDescent="0.15">
      <c r="A2" t="s">
        <v>88</v>
      </c>
    </row>
    <row r="4" spans="1:2" x14ac:dyDescent="0.15">
      <c r="A4" t="s">
        <v>89</v>
      </c>
    </row>
    <row r="5" spans="1:2" x14ac:dyDescent="0.15">
      <c r="A5" t="s">
        <v>100</v>
      </c>
    </row>
    <row r="6" spans="1:2" x14ac:dyDescent="0.15">
      <c r="A6" t="s">
        <v>90</v>
      </c>
    </row>
    <row r="7" spans="1:2" x14ac:dyDescent="0.15">
      <c r="A7" t="s">
        <v>91</v>
      </c>
    </row>
    <row r="8" spans="1:2" x14ac:dyDescent="0.15">
      <c r="A8" t="s">
        <v>92</v>
      </c>
    </row>
    <row r="9" spans="1:2" x14ac:dyDescent="0.15">
      <c r="B9" t="s">
        <v>93</v>
      </c>
    </row>
    <row r="10" spans="1:2" x14ac:dyDescent="0.15">
      <c r="B10" t="s">
        <v>94</v>
      </c>
    </row>
    <row r="11" spans="1:2" x14ac:dyDescent="0.15">
      <c r="B11" t="s">
        <v>95</v>
      </c>
    </row>
    <row r="12" spans="1:2" x14ac:dyDescent="0.15">
      <c r="B12" t="s">
        <v>96</v>
      </c>
    </row>
    <row r="13" spans="1:2" x14ac:dyDescent="0.15">
      <c r="B13" t="s">
        <v>97</v>
      </c>
    </row>
    <row r="14" spans="1:2" x14ac:dyDescent="0.15">
      <c r="B14" t="s">
        <v>98</v>
      </c>
    </row>
    <row r="15" spans="1:2" x14ac:dyDescent="0.15">
      <c r="B15" t="s">
        <v>99</v>
      </c>
    </row>
    <row r="17" spans="1:2" x14ac:dyDescent="0.15">
      <c r="A17" t="s">
        <v>101</v>
      </c>
    </row>
    <row r="18" spans="1:2" x14ac:dyDescent="0.15">
      <c r="A18" t="s">
        <v>102</v>
      </c>
    </row>
    <row r="19" spans="1:2" x14ac:dyDescent="0.15">
      <c r="B19" t="s">
        <v>103</v>
      </c>
    </row>
    <row r="20" spans="1:2" x14ac:dyDescent="0.15">
      <c r="B20" t="s">
        <v>104</v>
      </c>
    </row>
    <row r="21" spans="1:2" x14ac:dyDescent="0.15">
      <c r="B21" t="s">
        <v>105</v>
      </c>
    </row>
    <row r="23" spans="1:2" x14ac:dyDescent="0.15">
      <c r="A23" t="s">
        <v>106</v>
      </c>
    </row>
    <row r="24" spans="1:2" x14ac:dyDescent="0.15">
      <c r="A24" t="s">
        <v>107</v>
      </c>
    </row>
    <row r="25" spans="1:2" x14ac:dyDescent="0.15">
      <c r="A25" t="s">
        <v>108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Result</vt:lpstr>
      <vt:lpstr>Staff_List</vt:lpstr>
      <vt:lpstr>config</vt:lpstr>
      <vt:lpstr>Instructions</vt:lpstr>
    </vt:vector>
  </TitlesOfParts>
  <Company>SDL Japan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Ogura</dc:creator>
  <cp:lastModifiedBy>Tsuyoshi Ogura</cp:lastModifiedBy>
  <cp:lastPrinted>2013-09-24T02:00:09Z</cp:lastPrinted>
  <dcterms:created xsi:type="dcterms:W3CDTF">2013-09-24T01:57:12Z</dcterms:created>
  <dcterms:modified xsi:type="dcterms:W3CDTF">2013-09-26T07:26:23Z</dcterms:modified>
</cp:coreProperties>
</file>